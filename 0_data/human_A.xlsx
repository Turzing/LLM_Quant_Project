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regular_samp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<sst xmlns="http://schemas.openxmlformats.org/spreadsheetml/2006/main" count="347" uniqueCount="31">
  <si>
    <t>stock</t>
  </si>
  <si>
    <t>date</t>
  </si>
  <si>
    <t>close</t>
  </si>
  <si>
    <t>ma20</t>
  </si>
  <si>
    <t>rsi</t>
  </si>
  <si>
    <t>macd</t>
  </si>
  <si>
    <t>human_suggestion</t>
  </si>
  <si>
    <t>human_explanation</t>
  </si>
  <si>
    <t>rater</t>
  </si>
  <si>
    <t>000001.SZ</t>
  </si>
  <si>
    <t>持有</t>
  </si>
  <si>
    <t>A</t>
  </si>
  <si>
    <t>000002.SZ</t>
  </si>
  <si>
    <t>000063.SZ</t>
  </si>
  <si>
    <t>000858.SZ</t>
  </si>
  <si>
    <t>300015.SZ</t>
  </si>
  <si>
    <t>300750.SZ</t>
  </si>
  <si>
    <t>601318.SH</t>
  </si>
  <si>
    <t>600036.SH</t>
  </si>
  <si>
    <t>600519.SH</t>
  </si>
  <si>
    <t>600276.SH</t>
  </si>
  <si>
    <t>600887.SH</t>
  </si>
  <si>
    <t>002415.SZ</t>
  </si>
  <si>
    <t>000725.SZ</t>
  </si>
  <si>
    <t>002594.SZ</t>
  </si>
  <si>
    <t>300059.SZ</t>
  </si>
  <si>
    <t>688981.SH</t>
  </si>
  <si>
    <t>601888.SH</t>
  </si>
  <si>
    <t>603259.SH</t>
  </si>
  <si>
    <t>000333.SZ</t>
  </si>
  <si>
    <t>600900.SH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</si>
</sst>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1"/>
  <sheetViews>
    <sheetView tabSelected="1" zoomScaleSheetLayoutView="60" workbookViewId="0">
      <selection activeCell="A1" sqref="A1:A121"/>
    </sheetView>
  </sheetViews>
  <sheetFormatPr defaultColWidth="9" defaultRowHeight="14.4"/>
  <cols>
    <col min="1" max="1" width="12.6296296296296" customWidth="1"/>
    <col min="2" max="5" width="10.6296296296296" customWidth="1"/>
    <col min="6" max="6" width="12.6296296296296" customWidth="1"/>
    <col min="7" max="7" width="19.0925925925926" customWidth="1"/>
    <col min="8" max="8" width="53.4537037037037" customWidth="1"/>
  </cols>
  <sheetData>
    <row r="1" s="1" customForma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t="s">
        <v>9</v>
      </c>
      <c r="B2" s="4">
        <v>196</v>
      </c>
      <c r="C2" s="4">
        <v>11.07</v>
      </c>
      <c r="D2" s="4">
        <v>11.4</v>
      </c>
      <c r="E2" s="4">
        <v>31</v>
      </c>
      <c r="F2" s="4">
        <v>-0.1137</v>
      </c>
      <c r="G2" s="4" t="s">
        <v>10</v>
      </c>
      <c r="H2" s="4" t="str">
        <f t="shared" ref="H2:H65" si="0">IF(AND(E2&gt;=30,E2&lt;=70,F2&gt;0),"RSI="&amp;E2&amp;"，MACD="&amp;F2&amp;"，MACD转正，趋势偏多，建议持有",IF(AND(E2&gt;=30,E2&lt;=70,F2&lt;0),"RSI="&amp;E2&amp;"，MACD="&amp;F2&amp;"，MACD转负，趋势偏空，建议观望",IF(E2&lt;30,"RSI="&amp;E2&amp;"严重超卖，有反弹需求，建议买入",IF(E2&gt;70,"RSI="&amp;E2&amp;"超买，短期回调风险大，建议卖出",IF(F2&gt;0,"MACD转正，趋势偏多，建议持有","MACD转负，趋势偏空，建议观望")))))</f>
        <v>RSI=31，MACD=-0.1137，MACD转负，趋势偏空，建议观望</v>
      </c>
      <c r="I2" s="5" t="s">
        <v>11</v>
      </c>
    </row>
    <row r="3" spans="1:9">
      <c r="A3" t="s">
        <v>9</v>
      </c>
      <c r="B3" s="4">
        <v>61</v>
      </c>
      <c r="C3" s="4">
        <v>12.51</v>
      </c>
      <c r="D3" s="4">
        <v>11.75</v>
      </c>
      <c r="E3" s="4">
        <v>78.2</v>
      </c>
      <c r="F3" s="4">
        <v>0.332</v>
      </c>
      <c r="G3" s="4" t="str">
        <f t="shared" ref="G3:G34" si="1">IF(AND(E3&gt;=30,E3&lt;=70,C3&lt;D3*0.95),"买入",IF(AND(E3&gt;=30,E3&lt;=70,C3&gt;D3*1.05),"卖出",IF(E3&gt;70,"卖出",IF(E3&lt;30,"买入",IF(F3&gt;0,"持有/买入","持有/卖出")))))</f>
        <v>卖出</v>
      </c>
      <c r="H3" s="4" t="str">
        <f t="shared" si="0"/>
        <v>RSI=78.2超买，短期回调风险大，建议卖出</v>
      </c>
      <c r="I3" s="5" t="s">
        <v>11</v>
      </c>
    </row>
    <row r="4" spans="1:9">
      <c r="A4" t="s">
        <v>9</v>
      </c>
      <c r="B4" s="4">
        <v>39</v>
      </c>
      <c r="C4" s="4">
        <v>11.08</v>
      </c>
      <c r="D4" s="4">
        <v>10.86</v>
      </c>
      <c r="E4" s="4">
        <v>65</v>
      </c>
      <c r="F4" s="4">
        <v>0.1664</v>
      </c>
      <c r="G4" s="4" t="s">
        <v>10</v>
      </c>
      <c r="H4" s="4" t="str">
        <f t="shared" si="0"/>
        <v>RSI=65，MACD=0.1664，MACD转正，趋势偏多，建议持有</v>
      </c>
      <c r="I4" s="5" t="s">
        <v>11</v>
      </c>
    </row>
    <row r="5" spans="1:9">
      <c r="A5" t="s">
        <v>9</v>
      </c>
      <c r="B5" s="4">
        <v>222</v>
      </c>
      <c r="C5" s="4">
        <v>10.76</v>
      </c>
      <c r="D5" s="4">
        <v>10.91</v>
      </c>
      <c r="E5" s="4">
        <v>36.9</v>
      </c>
      <c r="F5" s="4">
        <v>-0.0979</v>
      </c>
      <c r="G5" s="4" t="s">
        <v>10</v>
      </c>
      <c r="H5" s="4" t="str">
        <f t="shared" si="0"/>
        <v>RSI=36.9，MACD=-0.0979，MACD转负，趋势偏空，建议观望</v>
      </c>
      <c r="I5" s="5" t="s">
        <v>11</v>
      </c>
    </row>
    <row r="6" spans="1:9">
      <c r="A6" t="s">
        <v>9</v>
      </c>
      <c r="B6" s="4">
        <v>103</v>
      </c>
      <c r="C6" s="4">
        <v>11.5</v>
      </c>
      <c r="D6" s="4">
        <v>11.9</v>
      </c>
      <c r="E6" s="4">
        <v>36.1</v>
      </c>
      <c r="F6" s="4">
        <v>-0.1052</v>
      </c>
      <c r="G6" s="4" t="s">
        <v>10</v>
      </c>
      <c r="H6" s="4" t="str">
        <f t="shared" si="0"/>
        <v>RSI=36.1，MACD=-0.1052，MACD转负，趋势偏空，建议观望</v>
      </c>
      <c r="I6" s="5" t="s">
        <v>11</v>
      </c>
    </row>
    <row r="7" spans="1:9">
      <c r="A7" t="s">
        <v>9</v>
      </c>
      <c r="B7" s="4">
        <v>95</v>
      </c>
      <c r="C7" s="4">
        <v>11.81</v>
      </c>
      <c r="D7" s="4">
        <v>12.02</v>
      </c>
      <c r="E7" s="4">
        <v>40.4</v>
      </c>
      <c r="F7" s="4">
        <v>-0.0744</v>
      </c>
      <c r="G7" s="4" t="s">
        <v>10</v>
      </c>
      <c r="H7" s="4" t="str">
        <f t="shared" si="0"/>
        <v>RSI=40.4，MACD=-0.0744，MACD转负，趋势偏空，建议观望</v>
      </c>
      <c r="I7" s="5" t="s">
        <v>11</v>
      </c>
    </row>
    <row r="8" spans="1:9">
      <c r="A8" t="s">
        <v>12</v>
      </c>
      <c r="B8" s="4">
        <v>90</v>
      </c>
      <c r="C8" s="4">
        <v>6.53</v>
      </c>
      <c r="D8" s="4">
        <v>6.57</v>
      </c>
      <c r="E8" s="4">
        <v>49.8</v>
      </c>
      <c r="F8" s="4">
        <v>-0.0345</v>
      </c>
      <c r="G8" s="4" t="s">
        <v>10</v>
      </c>
      <c r="H8" s="4" t="str">
        <f t="shared" si="0"/>
        <v>RSI=49.8，MACD=-0.0345，MACD转负，趋势偏空，建议观望</v>
      </c>
      <c r="I8" s="5" t="s">
        <v>11</v>
      </c>
    </row>
    <row r="9" spans="1:9">
      <c r="A9" t="s">
        <v>12</v>
      </c>
      <c r="B9" s="4">
        <v>68</v>
      </c>
      <c r="C9" s="4">
        <v>6.56</v>
      </c>
      <c r="D9" s="4">
        <v>6.48</v>
      </c>
      <c r="E9" s="4">
        <v>50.4</v>
      </c>
      <c r="F9" s="4">
        <v>0.0208</v>
      </c>
      <c r="G9" s="4" t="s">
        <v>10</v>
      </c>
      <c r="H9" s="4" t="str">
        <f t="shared" si="0"/>
        <v>RSI=50.4，MACD=0.0208，MACD转正，趋势偏多，建议持有</v>
      </c>
      <c r="I9" s="5" t="s">
        <v>11</v>
      </c>
    </row>
    <row r="10" spans="1:9">
      <c r="A10" t="s">
        <v>12</v>
      </c>
      <c r="B10" s="4">
        <v>221</v>
      </c>
      <c r="C10" s="4">
        <v>4.72</v>
      </c>
      <c r="D10" s="4">
        <v>4.82</v>
      </c>
      <c r="E10" s="4">
        <v>44.8</v>
      </c>
      <c r="F10" s="4">
        <v>-0.0511</v>
      </c>
      <c r="G10" s="4" t="s">
        <v>10</v>
      </c>
      <c r="H10" s="4" t="str">
        <f t="shared" si="0"/>
        <v>RSI=44.8，MACD=-0.0511，MACD转负，趋势偏空，建议观望</v>
      </c>
      <c r="I10" s="5" t="s">
        <v>11</v>
      </c>
    </row>
    <row r="11" spans="1:9">
      <c r="A11" t="s">
        <v>12</v>
      </c>
      <c r="B11" s="4">
        <v>59</v>
      </c>
      <c r="C11" s="4">
        <v>6.46</v>
      </c>
      <c r="D11" s="4">
        <v>6.45</v>
      </c>
      <c r="E11" s="4">
        <v>47</v>
      </c>
      <c r="F11" s="4">
        <v>-0.0669</v>
      </c>
      <c r="G11" s="4" t="s">
        <v>10</v>
      </c>
      <c r="H11" s="4" t="str">
        <f t="shared" si="0"/>
        <v>RSI=47，MACD=-0.0669，MACD转负，趋势偏空，建议观望</v>
      </c>
      <c r="I11" s="5" t="s">
        <v>11</v>
      </c>
    </row>
    <row r="12" spans="1:9">
      <c r="A12" t="s">
        <v>12</v>
      </c>
      <c r="B12" s="4">
        <v>206</v>
      </c>
      <c r="C12" s="4">
        <v>4.88</v>
      </c>
      <c r="D12" s="4">
        <v>4.85</v>
      </c>
      <c r="E12" s="4">
        <v>49.8</v>
      </c>
      <c r="F12" s="4">
        <v>-0.0334</v>
      </c>
      <c r="G12" s="4" t="s">
        <v>10</v>
      </c>
      <c r="H12" s="4" t="str">
        <f t="shared" si="0"/>
        <v>RSI=49.8，MACD=-0.0334，MACD转负，趋势偏空，建议观望</v>
      </c>
      <c r="I12" s="5" t="s">
        <v>11</v>
      </c>
    </row>
    <row r="13" spans="1:9">
      <c r="A13" t="s">
        <v>12</v>
      </c>
      <c r="B13" s="4">
        <v>222</v>
      </c>
      <c r="C13" s="4">
        <v>4.65</v>
      </c>
      <c r="D13" s="4">
        <v>4.81</v>
      </c>
      <c r="E13" s="4">
        <v>42</v>
      </c>
      <c r="F13" s="4">
        <v>-0.0573</v>
      </c>
      <c r="G13" s="4" t="s">
        <v>10</v>
      </c>
      <c r="H13" s="4" t="str">
        <f t="shared" si="0"/>
        <v>RSI=42，MACD=-0.0573，MACD转负，趋势偏空，建议观望</v>
      </c>
      <c r="I13" s="5" t="s">
        <v>11</v>
      </c>
    </row>
    <row r="14" spans="1:9">
      <c r="A14" t="s">
        <v>13</v>
      </c>
      <c r="B14" s="4">
        <v>172</v>
      </c>
      <c r="C14" s="4">
        <v>36.96</v>
      </c>
      <c r="D14" s="4">
        <v>40.64</v>
      </c>
      <c r="E14" s="4">
        <v>37</v>
      </c>
      <c r="F14" s="4">
        <v>-1.4496</v>
      </c>
      <c r="G14" s="4" t="str">
        <f t="shared" si="1"/>
        <v>买入</v>
      </c>
      <c r="H14" s="4" t="str">
        <f>IF(AND(E14&gt;=30,E14&lt;=70,C14&lt;D14*0.95),"RSI="&amp;E14&amp;"，MACD="&amp;F14&amp;"，close远低于ma20，建议买入",H14)</f>
        <v>RSI=37，MACD=-1.4496，close远低于ma20，建议买入</v>
      </c>
      <c r="I14" s="5" t="s">
        <v>11</v>
      </c>
    </row>
    <row r="15" spans="1:9">
      <c r="A15" t="s">
        <v>13</v>
      </c>
      <c r="B15" s="4">
        <v>55</v>
      </c>
      <c r="C15" s="4">
        <v>32.39</v>
      </c>
      <c r="D15" s="4">
        <v>31.73</v>
      </c>
      <c r="E15" s="4">
        <v>58.2</v>
      </c>
      <c r="F15" s="4">
        <v>0.0439</v>
      </c>
      <c r="G15" s="4" t="s">
        <v>10</v>
      </c>
      <c r="H15" s="4" t="str">
        <f t="shared" si="0"/>
        <v>RSI=58.2，MACD=0.0439，MACD转正，趋势偏多，建议持有</v>
      </c>
      <c r="I15" s="5" t="s">
        <v>11</v>
      </c>
    </row>
    <row r="16" spans="1:9">
      <c r="A16" t="s">
        <v>13</v>
      </c>
      <c r="B16" s="4">
        <v>184</v>
      </c>
      <c r="C16" s="4">
        <v>39.27</v>
      </c>
      <c r="D16" s="4">
        <v>38.21</v>
      </c>
      <c r="E16" s="4">
        <v>51.2</v>
      </c>
      <c r="F16" s="4">
        <v>-0.8148</v>
      </c>
      <c r="G16" s="4" t="s">
        <v>10</v>
      </c>
      <c r="H16" s="4" t="str">
        <f t="shared" si="0"/>
        <v>RSI=51.2，MACD=-0.8148，MACD转负，趋势偏空，建议观望</v>
      </c>
      <c r="I16" s="5" t="s">
        <v>11</v>
      </c>
    </row>
    <row r="17" spans="1:9">
      <c r="A17" t="s">
        <v>13</v>
      </c>
      <c r="B17" s="4">
        <v>141</v>
      </c>
      <c r="C17" s="4">
        <v>41.73</v>
      </c>
      <c r="D17" s="4">
        <v>48.6</v>
      </c>
      <c r="E17" s="4">
        <v>38.9</v>
      </c>
      <c r="F17" s="4">
        <v>-0.438</v>
      </c>
      <c r="G17" s="4" t="str">
        <f t="shared" si="1"/>
        <v>买入</v>
      </c>
      <c r="H17" s="4" t="str">
        <f>IF(AND(E17&gt;=30,E17&lt;=70,C17&lt;D17*0.95),"RSI="&amp;E17&amp;"，MACD="&amp;F17&amp;"，close远低于ma20，建议买入",H17)</f>
        <v>RSI=38.9，MACD=-0.438，close远低于ma20，建议买入</v>
      </c>
      <c r="I17" s="5" t="s">
        <v>11</v>
      </c>
    </row>
    <row r="18" spans="1:9">
      <c r="A18" t="s">
        <v>13</v>
      </c>
      <c r="B18" s="4">
        <v>41</v>
      </c>
      <c r="C18" s="4">
        <v>32.44</v>
      </c>
      <c r="D18" s="4">
        <v>31.89</v>
      </c>
      <c r="E18" s="4">
        <v>58.3</v>
      </c>
      <c r="F18" s="4">
        <v>0.043</v>
      </c>
      <c r="G18" s="4" t="s">
        <v>10</v>
      </c>
      <c r="H18" s="4" t="str">
        <f t="shared" si="0"/>
        <v>RSI=58.3，MACD=0.043，MACD转正，趋势偏多，建议持有</v>
      </c>
      <c r="I18" s="5" t="s">
        <v>11</v>
      </c>
    </row>
    <row r="19" spans="1:9">
      <c r="A19" t="s">
        <v>13</v>
      </c>
      <c r="B19" s="4">
        <v>40</v>
      </c>
      <c r="C19" s="4">
        <v>32.31</v>
      </c>
      <c r="D19" s="4">
        <v>31.9</v>
      </c>
      <c r="E19" s="4">
        <v>57</v>
      </c>
      <c r="F19" s="4">
        <v>-0.0158</v>
      </c>
      <c r="G19" s="4" t="s">
        <v>10</v>
      </c>
      <c r="H19" s="4" t="str">
        <f t="shared" si="0"/>
        <v>RSI=57，MACD=-0.0158，MACD转负，趋势偏空，建议观望</v>
      </c>
      <c r="I19" s="5" t="s">
        <v>11</v>
      </c>
    </row>
    <row r="20" spans="1:9">
      <c r="A20" t="s">
        <v>14</v>
      </c>
      <c r="B20" s="4">
        <v>56</v>
      </c>
      <c r="C20" s="4">
        <v>113.25</v>
      </c>
      <c r="D20" s="4">
        <v>115.35</v>
      </c>
      <c r="E20" s="4">
        <v>35.7</v>
      </c>
      <c r="F20" s="4">
        <v>-2.1117</v>
      </c>
      <c r="G20" s="4" t="s">
        <v>10</v>
      </c>
      <c r="H20" s="4" t="str">
        <f t="shared" si="0"/>
        <v>RSI=35.7，MACD=-2.1117，MACD转负，趋势偏空，建议观望</v>
      </c>
      <c r="I20" s="5" t="s">
        <v>11</v>
      </c>
    </row>
    <row r="21" spans="1:9">
      <c r="A21" t="s">
        <v>14</v>
      </c>
      <c r="B21" s="4">
        <v>88</v>
      </c>
      <c r="C21" s="4">
        <v>120.38</v>
      </c>
      <c r="D21" s="4">
        <v>120.35</v>
      </c>
      <c r="E21" s="4">
        <v>54.9</v>
      </c>
      <c r="F21" s="4">
        <v>0.5684</v>
      </c>
      <c r="G21" s="4" t="s">
        <v>10</v>
      </c>
      <c r="H21" s="4" t="str">
        <f t="shared" si="0"/>
        <v>RSI=54.9，MACD=0.5684，MACD转正，趋势偏多，建议持有</v>
      </c>
      <c r="I21" s="5" t="s">
        <v>11</v>
      </c>
    </row>
    <row r="22" spans="1:9">
      <c r="A22" t="s">
        <v>14</v>
      </c>
      <c r="B22" s="4">
        <v>92</v>
      </c>
      <c r="C22" s="4">
        <v>121.57</v>
      </c>
      <c r="D22" s="4">
        <v>120.33</v>
      </c>
      <c r="E22" s="4">
        <v>59.9</v>
      </c>
      <c r="F22" s="4">
        <v>0.626</v>
      </c>
      <c r="G22" s="4" t="s">
        <v>10</v>
      </c>
      <c r="H22" s="4" t="str">
        <f t="shared" si="0"/>
        <v>RSI=59.9，MACD=0.626，MACD转正，趋势偏多，建议持有</v>
      </c>
      <c r="I22" s="5" t="s">
        <v>11</v>
      </c>
    </row>
    <row r="23" spans="1:9">
      <c r="A23" t="s">
        <v>14</v>
      </c>
      <c r="B23" s="4">
        <v>162</v>
      </c>
      <c r="C23" s="4">
        <v>112.96</v>
      </c>
      <c r="D23" s="4">
        <v>116.16</v>
      </c>
      <c r="E23" s="4">
        <v>29.5</v>
      </c>
      <c r="F23" s="4">
        <v>-0.93</v>
      </c>
      <c r="G23" s="4" t="str">
        <f t="shared" si="1"/>
        <v>买入</v>
      </c>
      <c r="H23" s="4" t="str">
        <f t="shared" si="0"/>
        <v>RSI=29.5严重超卖，有反弹需求，建议买入</v>
      </c>
      <c r="I23" s="5" t="s">
        <v>11</v>
      </c>
    </row>
    <row r="24" spans="1:9">
      <c r="A24" t="s">
        <v>14</v>
      </c>
      <c r="B24" s="4">
        <v>187</v>
      </c>
      <c r="C24" s="4">
        <v>107.14</v>
      </c>
      <c r="D24" s="4">
        <v>108.96</v>
      </c>
      <c r="E24" s="4">
        <v>36.4</v>
      </c>
      <c r="F24" s="4">
        <v>-1.5933</v>
      </c>
      <c r="G24" s="4" t="s">
        <v>10</v>
      </c>
      <c r="H24" s="4" t="str">
        <f t="shared" si="0"/>
        <v>RSI=36.4，MACD=-1.5933，MACD转负，趋势偏空，建议观望</v>
      </c>
      <c r="I24" s="5" t="s">
        <v>11</v>
      </c>
    </row>
    <row r="25" spans="1:9">
      <c r="A25" t="s">
        <v>14</v>
      </c>
      <c r="B25" s="4">
        <v>39</v>
      </c>
      <c r="C25" s="4">
        <v>119.08</v>
      </c>
      <c r="D25" s="4">
        <v>122.95</v>
      </c>
      <c r="E25" s="4">
        <v>35</v>
      </c>
      <c r="F25" s="4">
        <v>-1.2979</v>
      </c>
      <c r="G25" s="4" t="s">
        <v>10</v>
      </c>
      <c r="H25" s="4" t="str">
        <f t="shared" si="0"/>
        <v>RSI=35，MACD=-1.2979，MACD转负，趋势偏空，建议观望</v>
      </c>
      <c r="I25" s="5" t="s">
        <v>11</v>
      </c>
    </row>
    <row r="26" spans="1:9">
      <c r="A26" t="s">
        <v>15</v>
      </c>
      <c r="B26" s="4">
        <v>176</v>
      </c>
      <c r="C26" s="4">
        <v>11.05</v>
      </c>
      <c r="D26" s="4">
        <v>11.2</v>
      </c>
      <c r="E26" s="4">
        <v>39.4</v>
      </c>
      <c r="F26" s="4">
        <v>-0.1844</v>
      </c>
      <c r="G26" s="4" t="s">
        <v>10</v>
      </c>
      <c r="H26" s="4" t="str">
        <f t="shared" si="0"/>
        <v>RSI=39.4，MACD=-0.1844，MACD转负，趋势偏空，建议观望</v>
      </c>
      <c r="I26" s="5" t="s">
        <v>11</v>
      </c>
    </row>
    <row r="27" spans="1:9">
      <c r="A27" t="s">
        <v>15</v>
      </c>
      <c r="B27" s="4">
        <v>83</v>
      </c>
      <c r="C27" s="4">
        <v>12.73</v>
      </c>
      <c r="D27" s="4">
        <v>12.66</v>
      </c>
      <c r="E27" s="4">
        <v>53.6</v>
      </c>
      <c r="F27" s="4">
        <v>0.1421</v>
      </c>
      <c r="G27" s="4" t="s">
        <v>10</v>
      </c>
      <c r="H27" s="4" t="str">
        <f t="shared" si="0"/>
        <v>RSI=53.6，MACD=0.1421，MACD转正，趋势偏多，建议持有</v>
      </c>
      <c r="I27" s="5" t="s">
        <v>11</v>
      </c>
    </row>
    <row r="28" spans="1:9">
      <c r="A28" t="s">
        <v>15</v>
      </c>
      <c r="B28" s="4">
        <v>216</v>
      </c>
      <c r="C28" s="4">
        <v>10.6</v>
      </c>
      <c r="D28" s="4">
        <v>10.93</v>
      </c>
      <c r="E28" s="4">
        <v>41.6</v>
      </c>
      <c r="F28" s="4">
        <v>-0.1849</v>
      </c>
      <c r="G28" s="4" t="s">
        <v>10</v>
      </c>
      <c r="H28" s="4" t="str">
        <f t="shared" si="0"/>
        <v>RSI=41.6，MACD=-0.1849，MACD转负，趋势偏空，建议观望</v>
      </c>
      <c r="I28" s="5" t="s">
        <v>11</v>
      </c>
    </row>
    <row r="29" spans="1:9">
      <c r="A29" t="s">
        <v>15</v>
      </c>
      <c r="B29" s="4">
        <v>199</v>
      </c>
      <c r="C29" s="4">
        <v>11.12</v>
      </c>
      <c r="D29" s="4">
        <v>11.29</v>
      </c>
      <c r="E29" s="4">
        <v>43.2</v>
      </c>
      <c r="F29" s="4">
        <v>-0.0136</v>
      </c>
      <c r="G29" s="4" t="s">
        <v>10</v>
      </c>
      <c r="H29" s="4" t="str">
        <f t="shared" si="0"/>
        <v>RSI=43.2，MACD=-0.0136，MACD转负，趋势偏空，建议观望</v>
      </c>
      <c r="I29" s="5" t="s">
        <v>11</v>
      </c>
    </row>
    <row r="30" spans="1:9">
      <c r="A30" t="s">
        <v>15</v>
      </c>
      <c r="B30" s="4">
        <v>212</v>
      </c>
      <c r="C30" s="4">
        <v>10.33</v>
      </c>
      <c r="D30" s="4">
        <v>11.06</v>
      </c>
      <c r="E30" s="4">
        <v>33.7</v>
      </c>
      <c r="F30" s="4">
        <v>-0.1817</v>
      </c>
      <c r="G30" s="4" t="str">
        <f t="shared" si="1"/>
        <v>买入</v>
      </c>
      <c r="H30" s="4" t="str">
        <f>IF(AND(E30&gt;=30,E30&lt;=70,C30&lt;D30*0.95),"RSI="&amp;E30&amp;"，MACD="&amp;F30&amp;"，close远低于ma20，建议买入",H30)</f>
        <v>RSI=33.7，MACD=-0.1817，close远低于ma20，建议买入</v>
      </c>
      <c r="I30" s="5" t="s">
        <v>11</v>
      </c>
    </row>
    <row r="31" spans="1:9">
      <c r="A31" t="s">
        <v>15</v>
      </c>
      <c r="B31" s="4">
        <v>172</v>
      </c>
      <c r="C31" s="4">
        <v>11.16</v>
      </c>
      <c r="D31" s="4">
        <v>11.29</v>
      </c>
      <c r="E31" s="4">
        <v>40.9</v>
      </c>
      <c r="F31" s="4">
        <v>-0.2529</v>
      </c>
      <c r="G31" s="4" t="s">
        <v>10</v>
      </c>
      <c r="H31" s="4" t="str">
        <f t="shared" si="0"/>
        <v>RSI=40.9，MACD=-0.2529，MACD转负，趋势偏空，建议观望</v>
      </c>
      <c r="I31" s="5" t="s">
        <v>11</v>
      </c>
    </row>
    <row r="32" spans="1:9">
      <c r="A32" t="s">
        <v>16</v>
      </c>
      <c r="B32" s="4">
        <v>140</v>
      </c>
      <c r="C32" s="4">
        <v>386.86</v>
      </c>
      <c r="D32" s="4">
        <v>382.19</v>
      </c>
      <c r="E32" s="4">
        <v>57.4</v>
      </c>
      <c r="F32" s="4">
        <v>11.1458</v>
      </c>
      <c r="G32" s="4" t="s">
        <v>10</v>
      </c>
      <c r="H32" s="4" t="str">
        <f t="shared" si="0"/>
        <v>RSI=57.4，MACD=11.1458，MACD转正，趋势偏多，建议持有</v>
      </c>
      <c r="I32" s="5" t="s">
        <v>11</v>
      </c>
    </row>
    <row r="33" spans="1:9">
      <c r="A33" t="s">
        <v>16</v>
      </c>
      <c r="B33" s="4">
        <v>89</v>
      </c>
      <c r="C33" s="4">
        <v>278.89</v>
      </c>
      <c r="D33" s="4">
        <v>273</v>
      </c>
      <c r="E33" s="4">
        <v>61</v>
      </c>
      <c r="F33" s="4">
        <v>1.1373</v>
      </c>
      <c r="G33" s="4" t="s">
        <v>10</v>
      </c>
      <c r="H33" s="4" t="str">
        <f t="shared" si="0"/>
        <v>RSI=61，MACD=1.1373，MACD转正，趋势偏多，建议持有</v>
      </c>
      <c r="I33" s="5" t="s">
        <v>11</v>
      </c>
    </row>
    <row r="34" spans="1:9">
      <c r="A34" t="s">
        <v>16</v>
      </c>
      <c r="B34" s="4">
        <v>147</v>
      </c>
      <c r="C34" s="4">
        <v>386.38</v>
      </c>
      <c r="D34" s="4">
        <v>383.24</v>
      </c>
      <c r="E34" s="4">
        <v>54.6</v>
      </c>
      <c r="F34" s="4">
        <v>7.2325</v>
      </c>
      <c r="G34" s="4" t="s">
        <v>10</v>
      </c>
      <c r="H34" s="4" t="str">
        <f t="shared" si="0"/>
        <v>RSI=54.6，MACD=7.2325，MACD转正，趋势偏多，建议持有</v>
      </c>
      <c r="I34" s="5" t="s">
        <v>11</v>
      </c>
    </row>
    <row r="35" spans="1:9">
      <c r="A35" t="s">
        <v>16</v>
      </c>
      <c r="B35" s="4">
        <v>183</v>
      </c>
      <c r="C35" s="4">
        <v>377.5</v>
      </c>
      <c r="D35" s="4">
        <v>379.1</v>
      </c>
      <c r="E35" s="4">
        <v>50.2</v>
      </c>
      <c r="F35" s="4">
        <v>-2.7538</v>
      </c>
      <c r="G35" s="4" t="s">
        <v>10</v>
      </c>
      <c r="H35" s="4" t="str">
        <f t="shared" si="0"/>
        <v>RSI=50.2，MACD=-2.7538，MACD转负，趋势偏空，建议观望</v>
      </c>
      <c r="I35" s="5" t="s">
        <v>11</v>
      </c>
    </row>
    <row r="36" spans="1:9">
      <c r="A36" t="s">
        <v>16</v>
      </c>
      <c r="B36" s="4">
        <v>104</v>
      </c>
      <c r="C36" s="4">
        <v>304.03</v>
      </c>
      <c r="D36" s="4">
        <v>284.23</v>
      </c>
      <c r="E36" s="4">
        <v>64.7</v>
      </c>
      <c r="F36" s="4">
        <v>9.1102</v>
      </c>
      <c r="G36" s="4" t="str">
        <f t="shared" ref="G35:G66" si="2">IF(AND(E36&gt;=30,E36&lt;=70,C36&lt;D36*0.95),"买入",IF(AND(E36&gt;=30,E36&lt;=70,C36&gt;D36*1.05),"卖出",IF(E36&gt;70,"卖出",IF(E36&lt;30,"买入",IF(F36&gt;0,"持有/买入","持有/卖出")))))</f>
        <v>卖出</v>
      </c>
      <c r="H36" s="4" t="str">
        <f>"RSI="&amp;E36&amp;"，MACD="&amp;F36&amp;"，close远高于ma20，建议卖出"</f>
        <v>RSI=64.7，MACD=9.1102，close远高于ma20，建议卖出</v>
      </c>
      <c r="I36" s="5" t="s">
        <v>11</v>
      </c>
    </row>
    <row r="37" spans="1:9">
      <c r="A37" t="s">
        <v>16</v>
      </c>
      <c r="B37" s="4">
        <v>240</v>
      </c>
      <c r="C37" s="4">
        <v>401.17</v>
      </c>
      <c r="D37" s="4">
        <v>397.19</v>
      </c>
      <c r="E37" s="4">
        <v>56.5</v>
      </c>
      <c r="F37" s="4">
        <v>10.5041</v>
      </c>
      <c r="G37" s="4" t="s">
        <v>10</v>
      </c>
      <c r="H37" s="4" t="str">
        <f t="shared" si="0"/>
        <v>RSI=56.5，MACD=10.5041，MACD转正，趋势偏多，建议持有</v>
      </c>
      <c r="I37" s="5" t="s">
        <v>11</v>
      </c>
    </row>
    <row r="38" spans="1:9">
      <c r="A38" t="s">
        <v>17</v>
      </c>
      <c r="B38" s="4">
        <v>34</v>
      </c>
      <c r="C38" s="4">
        <v>50.93</v>
      </c>
      <c r="D38" s="4">
        <v>50.37</v>
      </c>
      <c r="E38" s="4">
        <v>61.9</v>
      </c>
      <c r="F38" s="4">
        <v>0.8213</v>
      </c>
      <c r="G38" s="4" t="s">
        <v>10</v>
      </c>
      <c r="H38" s="4" t="str">
        <f t="shared" si="0"/>
        <v>RSI=61.9，MACD=0.8213，MACD转正，趋势偏多，建议持有</v>
      </c>
      <c r="I38" s="5" t="s">
        <v>11</v>
      </c>
    </row>
    <row r="39" spans="1:9">
      <c r="A39" t="s">
        <v>17</v>
      </c>
      <c r="B39" s="4">
        <v>227</v>
      </c>
      <c r="C39" s="4">
        <v>60.48</v>
      </c>
      <c r="D39" s="4">
        <v>63.66</v>
      </c>
      <c r="E39" s="4">
        <v>34.1</v>
      </c>
      <c r="F39" s="4">
        <v>-1.3737</v>
      </c>
      <c r="G39" s="4" t="s">
        <v>10</v>
      </c>
      <c r="H39" s="4" t="str">
        <f t="shared" si="0"/>
        <v>RSI=34.1，MACD=-1.3737，MACD转负，趋势偏空，建议观望</v>
      </c>
      <c r="I39" s="5" t="s">
        <v>11</v>
      </c>
    </row>
    <row r="40" spans="1:9">
      <c r="A40" t="s">
        <v>17</v>
      </c>
      <c r="B40" s="4">
        <v>239</v>
      </c>
      <c r="C40" s="4">
        <v>58.18</v>
      </c>
      <c r="D40" s="4">
        <v>59.88</v>
      </c>
      <c r="E40" s="4">
        <v>40</v>
      </c>
      <c r="F40" s="4">
        <v>-1.9065</v>
      </c>
      <c r="G40" s="4" t="s">
        <v>10</v>
      </c>
      <c r="H40" s="4" t="str">
        <f t="shared" si="0"/>
        <v>RSI=40，MACD=-1.9065，MACD转负，趋势偏空，建议观望</v>
      </c>
      <c r="I40" s="5" t="s">
        <v>11</v>
      </c>
    </row>
    <row r="41" spans="1:9">
      <c r="A41" t="s">
        <v>17</v>
      </c>
      <c r="B41" s="4">
        <v>73</v>
      </c>
      <c r="C41" s="4">
        <v>57.05</v>
      </c>
      <c r="D41" s="4">
        <v>55.65</v>
      </c>
      <c r="E41" s="4">
        <v>68.2</v>
      </c>
      <c r="F41" s="4">
        <v>0.9721</v>
      </c>
      <c r="G41" s="4" t="s">
        <v>10</v>
      </c>
      <c r="H41" s="4" t="str">
        <f t="shared" si="0"/>
        <v>RSI=68.2，MACD=0.9721，MACD转正，趋势偏多，建议持有</v>
      </c>
      <c r="I41" s="5" t="s">
        <v>11</v>
      </c>
    </row>
    <row r="42" spans="1:9">
      <c r="A42" t="s">
        <v>17</v>
      </c>
      <c r="B42" s="4">
        <v>211</v>
      </c>
      <c r="C42" s="4">
        <v>66.54</v>
      </c>
      <c r="D42" s="4">
        <v>66.4</v>
      </c>
      <c r="E42" s="4">
        <v>48.5</v>
      </c>
      <c r="F42" s="4">
        <v>0.1757</v>
      </c>
      <c r="G42" s="4" t="s">
        <v>10</v>
      </c>
      <c r="H42" s="4" t="str">
        <f t="shared" si="0"/>
        <v>RSI=48.5，MACD=0.1757，MACD转正，趋势偏多，建议持有</v>
      </c>
      <c r="I42" s="5" t="s">
        <v>11</v>
      </c>
    </row>
    <row r="43" spans="1:9">
      <c r="A43" t="s">
        <v>17</v>
      </c>
      <c r="B43" s="4">
        <v>141</v>
      </c>
      <c r="C43" s="4">
        <v>58.94</v>
      </c>
      <c r="D43" s="4">
        <v>56.91</v>
      </c>
      <c r="E43" s="4">
        <v>63.9</v>
      </c>
      <c r="F43" s="4">
        <v>0.7103</v>
      </c>
      <c r="G43" s="4" t="s">
        <v>10</v>
      </c>
      <c r="H43" s="4" t="str">
        <f t="shared" si="0"/>
        <v>RSI=63.9，MACD=0.7103，MACD转正，趋势偏多，建议持有</v>
      </c>
      <c r="I43" s="5" t="s">
        <v>11</v>
      </c>
    </row>
    <row r="44" spans="1:9">
      <c r="A44" t="s">
        <v>18</v>
      </c>
      <c r="B44" s="4">
        <v>120</v>
      </c>
      <c r="C44" s="4">
        <v>39.77</v>
      </c>
      <c r="D44" s="4">
        <v>41</v>
      </c>
      <c r="E44" s="4">
        <v>34.6</v>
      </c>
      <c r="F44" s="4">
        <v>-0.6715</v>
      </c>
      <c r="G44" s="4" t="s">
        <v>10</v>
      </c>
      <c r="H44" s="4" t="str">
        <f t="shared" si="0"/>
        <v>RSI=34.6，MACD=-0.6715，MACD转负，趋势偏空，建议观望</v>
      </c>
      <c r="I44" s="5" t="s">
        <v>11</v>
      </c>
    </row>
    <row r="45" spans="1:9">
      <c r="A45" t="s">
        <v>18</v>
      </c>
      <c r="B45" s="4">
        <v>104</v>
      </c>
      <c r="C45" s="4">
        <v>41.96</v>
      </c>
      <c r="D45" s="4">
        <v>42.3</v>
      </c>
      <c r="E45" s="4">
        <v>44.7</v>
      </c>
      <c r="F45" s="4">
        <v>-0.3889</v>
      </c>
      <c r="G45" s="4" t="s">
        <v>10</v>
      </c>
      <c r="H45" s="4" t="str">
        <f t="shared" si="0"/>
        <v>RSI=44.7，MACD=-0.3889，MACD转负，趋势偏空，建议观望</v>
      </c>
      <c r="I45" s="5" t="s">
        <v>11</v>
      </c>
    </row>
    <row r="46" spans="1:9">
      <c r="A46" t="s">
        <v>18</v>
      </c>
      <c r="B46" s="4">
        <v>72</v>
      </c>
      <c r="C46" s="4">
        <v>43.81</v>
      </c>
      <c r="D46" s="4">
        <v>44</v>
      </c>
      <c r="E46" s="4">
        <v>53.4</v>
      </c>
      <c r="F46" s="4">
        <v>0.3819</v>
      </c>
      <c r="G46" s="4" t="s">
        <v>10</v>
      </c>
      <c r="H46" s="4" t="str">
        <f t="shared" si="0"/>
        <v>RSI=53.4，MACD=0.3819，MACD转正，趋势偏多，建议持有</v>
      </c>
      <c r="I46" s="5" t="s">
        <v>11</v>
      </c>
    </row>
    <row r="47" spans="1:9">
      <c r="A47" t="s">
        <v>18</v>
      </c>
      <c r="B47" s="4">
        <v>88</v>
      </c>
      <c r="C47" s="4">
        <v>42.44</v>
      </c>
      <c r="D47" s="4">
        <v>43.53</v>
      </c>
      <c r="E47" s="4">
        <v>36.6</v>
      </c>
      <c r="F47" s="4">
        <v>-0.1129</v>
      </c>
      <c r="G47" s="4" t="s">
        <v>10</v>
      </c>
      <c r="H47" s="4" t="str">
        <f t="shared" si="0"/>
        <v>RSI=36.6，MACD=-0.1129，MACD转负，趋势偏空，建议观望</v>
      </c>
      <c r="I47" s="5" t="s">
        <v>11</v>
      </c>
    </row>
    <row r="48" spans="1:9">
      <c r="A48" t="s">
        <v>18</v>
      </c>
      <c r="B48" s="4">
        <v>228</v>
      </c>
      <c r="C48" s="4">
        <v>40.12</v>
      </c>
      <c r="D48" s="4">
        <v>39.16</v>
      </c>
      <c r="E48" s="4">
        <v>62.1</v>
      </c>
      <c r="F48" s="4">
        <v>0.1688</v>
      </c>
      <c r="G48" s="4" t="s">
        <v>10</v>
      </c>
      <c r="H48" s="4" t="str">
        <f t="shared" si="0"/>
        <v>RSI=62.1，MACD=0.1688，MACD转正，趋势偏多，建议持有</v>
      </c>
      <c r="I48" s="5" t="s">
        <v>11</v>
      </c>
    </row>
    <row r="49" spans="1:9">
      <c r="A49" t="s">
        <v>18</v>
      </c>
      <c r="B49" s="4">
        <v>119</v>
      </c>
      <c r="C49" s="4">
        <v>39.79</v>
      </c>
      <c r="D49" s="4">
        <v>41.1</v>
      </c>
      <c r="E49" s="4">
        <v>34.7</v>
      </c>
      <c r="F49" s="4">
        <v>-0.6566</v>
      </c>
      <c r="G49" s="4" t="s">
        <v>10</v>
      </c>
      <c r="H49" s="4" t="str">
        <f t="shared" si="0"/>
        <v>RSI=34.7，MACD=-0.6566，MACD转负，趋势偏空，建议观望</v>
      </c>
      <c r="I49" s="5" t="s">
        <v>11</v>
      </c>
    </row>
    <row r="50" spans="1:9">
      <c r="A50" t="s">
        <v>19</v>
      </c>
      <c r="B50" s="4">
        <v>59</v>
      </c>
      <c r="C50" s="4">
        <v>1391.93</v>
      </c>
      <c r="D50" s="4">
        <v>1392.72</v>
      </c>
      <c r="E50" s="4">
        <v>40.6</v>
      </c>
      <c r="F50" s="4">
        <v>-21.5778</v>
      </c>
      <c r="G50" s="4" t="s">
        <v>10</v>
      </c>
      <c r="H50" s="4" t="str">
        <f t="shared" si="0"/>
        <v>RSI=40.6，MACD=-21.5778，MACD转负，趋势偏空，建议观望</v>
      </c>
      <c r="I50" s="5" t="s">
        <v>11</v>
      </c>
    </row>
    <row r="51" spans="1:9">
      <c r="A51" t="s">
        <v>19</v>
      </c>
      <c r="B51" s="4">
        <v>56</v>
      </c>
      <c r="C51" s="4">
        <v>1385.95</v>
      </c>
      <c r="D51" s="4">
        <v>1403.31</v>
      </c>
      <c r="E51" s="4">
        <v>36.4</v>
      </c>
      <c r="F51" s="4">
        <v>-26.2599</v>
      </c>
      <c r="G51" s="4" t="s">
        <v>10</v>
      </c>
      <c r="H51" s="4" t="str">
        <f t="shared" si="0"/>
        <v>RSI=36.4，MACD=-26.2599，MACD转负，趋势偏空，建议观望</v>
      </c>
      <c r="I51" s="5" t="s">
        <v>11</v>
      </c>
    </row>
    <row r="52" spans="1:9">
      <c r="A52" t="s">
        <v>19</v>
      </c>
      <c r="B52" s="4">
        <v>130</v>
      </c>
      <c r="C52" s="4">
        <v>1433.56</v>
      </c>
      <c r="D52" s="4">
        <v>1433.75</v>
      </c>
      <c r="E52" s="4">
        <v>49.6</v>
      </c>
      <c r="F52" s="4">
        <v>-3.5136</v>
      </c>
      <c r="G52" s="4" t="s">
        <v>10</v>
      </c>
      <c r="H52" s="4" t="str">
        <f t="shared" si="0"/>
        <v>RSI=49.6，MACD=-3.5136，MACD转负，趋势偏空，建议观望</v>
      </c>
      <c r="I52" s="5" t="s">
        <v>11</v>
      </c>
    </row>
    <row r="53" spans="1:9">
      <c r="A53" t="s">
        <v>19</v>
      </c>
      <c r="B53" s="4">
        <v>57</v>
      </c>
      <c r="C53" s="4">
        <v>1381.61</v>
      </c>
      <c r="D53" s="4">
        <v>1399.63</v>
      </c>
      <c r="E53" s="4">
        <v>35.2</v>
      </c>
      <c r="F53" s="4">
        <v>-25.0903</v>
      </c>
      <c r="G53" s="4" t="s">
        <v>10</v>
      </c>
      <c r="H53" s="4" t="str">
        <f t="shared" si="0"/>
        <v>RSI=35.2，MACD=-25.0903，MACD转负，趋势偏空，建议观望</v>
      </c>
      <c r="I53" s="5" t="s">
        <v>11</v>
      </c>
    </row>
    <row r="54" spans="1:9">
      <c r="A54" t="s">
        <v>19</v>
      </c>
      <c r="B54" s="4">
        <v>124</v>
      </c>
      <c r="C54" s="4">
        <v>1406.09</v>
      </c>
      <c r="D54" s="4">
        <v>1449.51</v>
      </c>
      <c r="E54" s="4">
        <v>38.6</v>
      </c>
      <c r="F54" s="4">
        <v>-8.6869</v>
      </c>
      <c r="G54" s="4" t="s">
        <v>10</v>
      </c>
      <c r="H54" s="4" t="str">
        <f t="shared" si="0"/>
        <v>RSI=38.6，MACD=-8.6869，MACD转负，趋势偏空，建议观望</v>
      </c>
      <c r="I54" s="5" t="s">
        <v>11</v>
      </c>
    </row>
    <row r="55" spans="1:9">
      <c r="A55" t="s">
        <v>19</v>
      </c>
      <c r="B55" s="4">
        <v>249</v>
      </c>
      <c r="C55" s="4">
        <v>1462.84</v>
      </c>
      <c r="D55" s="4">
        <v>1441.5</v>
      </c>
      <c r="E55" s="4">
        <v>55.7</v>
      </c>
      <c r="F55" s="4">
        <v>6.9712</v>
      </c>
      <c r="G55" s="4" t="s">
        <v>10</v>
      </c>
      <c r="H55" s="4" t="str">
        <f t="shared" si="0"/>
        <v>RSI=55.7，MACD=6.9712，MACD转正，趋势偏多，建议持有</v>
      </c>
      <c r="I55" s="5" t="s">
        <v>11</v>
      </c>
    </row>
    <row r="56" spans="1:9">
      <c r="A56" t="s">
        <v>20</v>
      </c>
      <c r="B56" s="4">
        <v>121</v>
      </c>
      <c r="C56" s="4">
        <v>69.2</v>
      </c>
      <c r="D56" s="4">
        <v>70.23</v>
      </c>
      <c r="E56" s="4">
        <v>52.2</v>
      </c>
      <c r="F56" s="4">
        <v>1.3943</v>
      </c>
      <c r="G56" s="4" t="s">
        <v>10</v>
      </c>
      <c r="H56" s="4" t="str">
        <f t="shared" si="0"/>
        <v>RSI=52.2，MACD=1.3943，MACD转正，趋势偏多，建议持有</v>
      </c>
      <c r="I56" s="5" t="s">
        <v>11</v>
      </c>
    </row>
    <row r="57" spans="1:9">
      <c r="A57" t="s">
        <v>20</v>
      </c>
      <c r="B57" s="4">
        <v>187</v>
      </c>
      <c r="C57" s="4">
        <v>63.78</v>
      </c>
      <c r="D57" s="4">
        <v>61.62</v>
      </c>
      <c r="E57" s="4">
        <v>59.7</v>
      </c>
      <c r="F57" s="4">
        <v>0.3219</v>
      </c>
      <c r="G57" s="4" t="s">
        <v>10</v>
      </c>
      <c r="H57" s="4" t="str">
        <f t="shared" si="0"/>
        <v>RSI=59.7，MACD=0.3219，MACD转正，趋势偏多，建议持有</v>
      </c>
      <c r="I57" s="5" t="s">
        <v>11</v>
      </c>
    </row>
    <row r="58" spans="1:9">
      <c r="A58" t="s">
        <v>20</v>
      </c>
      <c r="B58" s="4">
        <v>100</v>
      </c>
      <c r="C58" s="4">
        <v>66.23</v>
      </c>
      <c r="D58" s="4">
        <v>62.94</v>
      </c>
      <c r="E58" s="4">
        <v>64.4</v>
      </c>
      <c r="F58" s="4">
        <v>1.5701</v>
      </c>
      <c r="G58" s="4" t="str">
        <f t="shared" si="2"/>
        <v>卖出</v>
      </c>
      <c r="H58" s="4" t="str">
        <f>"RSI="&amp;E58&amp;"，MACD="&amp;F58&amp;"，close远高于ma20，建议卖出"</f>
        <v>RSI=64.4，MACD=1.5701，close远高于ma20，建议卖出</v>
      </c>
      <c r="I58" s="5" t="s">
        <v>11</v>
      </c>
    </row>
    <row r="59" spans="1:9">
      <c r="A59" t="s">
        <v>20</v>
      </c>
      <c r="B59" s="4">
        <v>239</v>
      </c>
      <c r="C59" s="4">
        <v>57.73</v>
      </c>
      <c r="D59" s="4">
        <v>55.15</v>
      </c>
      <c r="E59" s="4">
        <v>56.7</v>
      </c>
      <c r="F59" s="4">
        <v>-0.4114</v>
      </c>
      <c r="G59" s="4" t="s">
        <v>10</v>
      </c>
      <c r="H59" s="4" t="str">
        <f t="shared" si="0"/>
        <v>RSI=56.7，MACD=-0.4114，MACD转负，趋势偏空，建议观望</v>
      </c>
      <c r="I59" s="5" t="s">
        <v>11</v>
      </c>
    </row>
    <row r="60" spans="1:9">
      <c r="A60" t="s">
        <v>20</v>
      </c>
      <c r="B60" s="4">
        <v>44</v>
      </c>
      <c r="C60" s="4">
        <v>55.82</v>
      </c>
      <c r="D60" s="4">
        <v>54.4</v>
      </c>
      <c r="E60" s="4">
        <v>63.6</v>
      </c>
      <c r="F60" s="4">
        <v>0.9568</v>
      </c>
      <c r="G60" s="4" t="s">
        <v>10</v>
      </c>
      <c r="H60" s="4" t="str">
        <f t="shared" si="0"/>
        <v>RSI=63.6，MACD=0.9568，MACD转正，趋势偏多，建议持有</v>
      </c>
      <c r="I60" s="5" t="s">
        <v>11</v>
      </c>
    </row>
    <row r="61" spans="1:9">
      <c r="A61" t="s">
        <v>20</v>
      </c>
      <c r="B61" s="4">
        <v>219</v>
      </c>
      <c r="C61" s="4">
        <v>52.98</v>
      </c>
      <c r="D61" s="4">
        <v>57.09</v>
      </c>
      <c r="E61" s="4">
        <v>24.4</v>
      </c>
      <c r="F61" s="4">
        <v>-1.4547</v>
      </c>
      <c r="G61" s="4" t="str">
        <f t="shared" si="2"/>
        <v>买入</v>
      </c>
      <c r="H61" s="4" t="str">
        <f t="shared" si="0"/>
        <v>RSI=24.4严重超卖，有反弹需求，建议买入</v>
      </c>
      <c r="I61" s="5" t="s">
        <v>11</v>
      </c>
    </row>
    <row r="62" spans="1:9">
      <c r="A62" t="s">
        <v>21</v>
      </c>
      <c r="B62" s="4">
        <v>150</v>
      </c>
      <c r="C62" s="4">
        <v>28.09</v>
      </c>
      <c r="D62" s="4">
        <v>27.18</v>
      </c>
      <c r="E62" s="4">
        <v>65.6</v>
      </c>
      <c r="F62" s="4">
        <v>0.2331</v>
      </c>
      <c r="G62" s="4" t="s">
        <v>10</v>
      </c>
      <c r="H62" s="4" t="str">
        <f t="shared" si="0"/>
        <v>RSI=65.6，MACD=0.2331，MACD转正，趋势偏多，建议持有</v>
      </c>
      <c r="I62" s="5" t="s">
        <v>11</v>
      </c>
    </row>
    <row r="63" spans="1:9">
      <c r="A63" t="s">
        <v>21</v>
      </c>
      <c r="B63" s="4">
        <v>170</v>
      </c>
      <c r="C63" s="4">
        <v>28.35</v>
      </c>
      <c r="D63" s="4">
        <v>28.58</v>
      </c>
      <c r="E63" s="4">
        <v>52.9</v>
      </c>
      <c r="F63" s="4">
        <v>0.1109</v>
      </c>
      <c r="G63" s="4" t="s">
        <v>10</v>
      </c>
      <c r="H63" s="4" t="str">
        <f t="shared" si="0"/>
        <v>RSI=52.9，MACD=0.1109，MACD转正，趋势偏多，建议持有</v>
      </c>
      <c r="I63" s="5" t="s">
        <v>11</v>
      </c>
    </row>
    <row r="64" spans="1:9">
      <c r="A64" t="s">
        <v>21</v>
      </c>
      <c r="B64" s="4">
        <v>64</v>
      </c>
      <c r="C64" s="4">
        <v>27.2</v>
      </c>
      <c r="D64" s="4">
        <v>27.32</v>
      </c>
      <c r="E64" s="4">
        <v>42.7</v>
      </c>
      <c r="F64" s="4">
        <v>-0.2191</v>
      </c>
      <c r="G64" s="4" t="s">
        <v>10</v>
      </c>
      <c r="H64" s="4" t="str">
        <f t="shared" si="0"/>
        <v>RSI=42.7，MACD=-0.2191，MACD转负，趋势偏空，建议观望</v>
      </c>
      <c r="I64" s="5" t="s">
        <v>11</v>
      </c>
    </row>
    <row r="65" spans="1:9">
      <c r="A65" t="s">
        <v>21</v>
      </c>
      <c r="B65" s="4">
        <v>129</v>
      </c>
      <c r="C65" s="4">
        <v>26.89</v>
      </c>
      <c r="D65" s="4">
        <v>27.17</v>
      </c>
      <c r="E65" s="4">
        <v>43.6</v>
      </c>
      <c r="F65" s="4">
        <v>-0.0898</v>
      </c>
      <c r="G65" s="4" t="s">
        <v>10</v>
      </c>
      <c r="H65" s="4" t="str">
        <f t="shared" si="0"/>
        <v>RSI=43.6，MACD=-0.0898，MACD转负，趋势偏空，建议观望</v>
      </c>
      <c r="I65" s="5" t="s">
        <v>11</v>
      </c>
    </row>
    <row r="66" spans="1:9">
      <c r="A66" t="s">
        <v>21</v>
      </c>
      <c r="B66" s="4">
        <v>53</v>
      </c>
      <c r="C66" s="4">
        <v>27.31</v>
      </c>
      <c r="D66" s="4">
        <v>27.98</v>
      </c>
      <c r="E66" s="4">
        <v>39.2</v>
      </c>
      <c r="F66" s="4">
        <v>-0.2587</v>
      </c>
      <c r="G66" s="4" t="s">
        <v>10</v>
      </c>
      <c r="H66" s="4" t="str">
        <f t="shared" ref="H66:H121" si="3">IF(AND(E66&gt;=30,E66&lt;=70,F66&gt;0),"RSI="&amp;E66&amp;"，MACD="&amp;F66&amp;"，MACD转正，趋势偏多，建议持有",IF(AND(E66&gt;=30,E66&lt;=70,F66&lt;0),"RSI="&amp;E66&amp;"，MACD="&amp;F66&amp;"，MACD转负，趋势偏空，建议观望",IF(E66&lt;30,"RSI="&amp;E66&amp;"严重超卖，有反弹需求，建议买入",IF(E66&gt;70,"RSI="&amp;E66&amp;"超买，短期回调风险大，建议卖出",IF(F66&gt;0,"MACD转正，趋势偏多，建议持有","MACD转负，趋势偏空，建议观望")))))</f>
        <v>RSI=39.2，MACD=-0.2587，MACD转负，趋势偏空，建议观望</v>
      </c>
      <c r="I66" s="5" t="s">
        <v>11</v>
      </c>
    </row>
    <row r="67" spans="1:9">
      <c r="A67" t="s">
        <v>21</v>
      </c>
      <c r="B67" s="4">
        <v>174</v>
      </c>
      <c r="C67" s="4">
        <v>29.18</v>
      </c>
      <c r="D67" s="4">
        <v>28.57</v>
      </c>
      <c r="E67" s="4">
        <v>66.5</v>
      </c>
      <c r="F67" s="4">
        <v>0.2154</v>
      </c>
      <c r="G67" s="4" t="s">
        <v>10</v>
      </c>
      <c r="H67" s="4" t="str">
        <f t="shared" si="3"/>
        <v>RSI=66.5，MACD=0.2154，MACD转正，趋势偏多，建议持有</v>
      </c>
      <c r="I67" s="5" t="s">
        <v>11</v>
      </c>
    </row>
    <row r="68" spans="1:9">
      <c r="A68" t="s">
        <v>22</v>
      </c>
      <c r="B68" s="4">
        <v>108</v>
      </c>
      <c r="C68" s="4">
        <v>29.82</v>
      </c>
      <c r="D68" s="4">
        <v>29.98</v>
      </c>
      <c r="E68" s="4">
        <v>53</v>
      </c>
      <c r="F68" s="4">
        <v>0.252</v>
      </c>
      <c r="G68" s="4" t="s">
        <v>10</v>
      </c>
      <c r="H68" s="4" t="str">
        <f t="shared" si="3"/>
        <v>RSI=53，MACD=0.252，MACD转正，趋势偏多，建议持有</v>
      </c>
      <c r="I68" s="5" t="s">
        <v>11</v>
      </c>
    </row>
    <row r="69" spans="1:9">
      <c r="A69" t="s">
        <v>22</v>
      </c>
      <c r="B69" s="4">
        <v>245</v>
      </c>
      <c r="C69" s="4">
        <v>31.71</v>
      </c>
      <c r="D69" s="4">
        <v>30.89</v>
      </c>
      <c r="E69" s="4">
        <v>58.3</v>
      </c>
      <c r="F69" s="4">
        <v>-0.1335</v>
      </c>
      <c r="G69" s="4" t="s">
        <v>10</v>
      </c>
      <c r="H69" s="4" t="str">
        <f t="shared" si="3"/>
        <v>RSI=58.3，MACD=-0.1335，MACD转负，趋势偏空，建议观望</v>
      </c>
      <c r="I69" s="5" t="s">
        <v>11</v>
      </c>
    </row>
    <row r="70" spans="1:9">
      <c r="A70" t="s">
        <v>22</v>
      </c>
      <c r="B70" s="4">
        <v>193</v>
      </c>
      <c r="C70" s="4">
        <v>31.01</v>
      </c>
      <c r="D70" s="4">
        <v>30.18</v>
      </c>
      <c r="E70" s="4">
        <v>57.6</v>
      </c>
      <c r="F70" s="4">
        <v>0.3152</v>
      </c>
      <c r="G70" s="4" t="s">
        <v>10</v>
      </c>
      <c r="H70" s="4" t="str">
        <f t="shared" si="3"/>
        <v>RSI=57.6，MACD=0.3152，MACD转正，趋势偏多，建议持有</v>
      </c>
      <c r="I70" s="5" t="s">
        <v>11</v>
      </c>
    </row>
    <row r="71" spans="1:9">
      <c r="A71" t="s">
        <v>22</v>
      </c>
      <c r="B71" s="4">
        <v>191</v>
      </c>
      <c r="C71" s="4">
        <v>31.29</v>
      </c>
      <c r="D71" s="4">
        <v>29.98</v>
      </c>
      <c r="E71" s="4">
        <v>61.2</v>
      </c>
      <c r="F71" s="4">
        <v>0.2985</v>
      </c>
      <c r="G71" s="4" t="s">
        <v>10</v>
      </c>
      <c r="H71" s="4" t="str">
        <f t="shared" si="3"/>
        <v>RSI=61.2，MACD=0.2985，MACD转正，趋势偏多，建议持有</v>
      </c>
      <c r="I71" s="5" t="s">
        <v>11</v>
      </c>
    </row>
    <row r="72" spans="1:9">
      <c r="A72" t="s">
        <v>22</v>
      </c>
      <c r="B72" s="4">
        <v>125</v>
      </c>
      <c r="C72" s="4">
        <v>33.36</v>
      </c>
      <c r="D72" s="4">
        <v>30.84</v>
      </c>
      <c r="E72" s="4">
        <v>69.9</v>
      </c>
      <c r="F72" s="4">
        <v>0.8335</v>
      </c>
      <c r="G72" s="4" t="str">
        <f t="shared" ref="G67:G98" si="4">IF(AND(E72&gt;=30,E72&lt;=70,C72&lt;D72*0.95),"买入",IF(AND(E72&gt;=30,E72&lt;=70,C72&gt;D72*1.05),"卖出",IF(E72&gt;70,"卖出",IF(E72&lt;30,"买入",IF(F72&gt;0,"持有/买入","持有/卖出")))))</f>
        <v>卖出</v>
      </c>
      <c r="H72" s="4" t="str">
        <f>"RSI="&amp;E72&amp;"，MACD="&amp;F72&amp;"，close远高于ma20，建议卖出"</f>
        <v>RSI=69.9，MACD=0.8335，close远高于ma20，建议卖出</v>
      </c>
      <c r="I72" s="5" t="s">
        <v>11</v>
      </c>
    </row>
    <row r="73" spans="1:9">
      <c r="A73" t="s">
        <v>22</v>
      </c>
      <c r="B73" s="4">
        <v>180</v>
      </c>
      <c r="C73" s="4">
        <v>29.6</v>
      </c>
      <c r="D73" s="4">
        <v>29.62</v>
      </c>
      <c r="E73" s="4">
        <v>46.3</v>
      </c>
      <c r="F73" s="4">
        <v>-0.319</v>
      </c>
      <c r="G73" s="4" t="s">
        <v>10</v>
      </c>
      <c r="H73" s="4" t="str">
        <f t="shared" si="3"/>
        <v>RSI=46.3，MACD=-0.319，MACD转负，趋势偏空，建议观望</v>
      </c>
      <c r="I73" s="5" t="s">
        <v>11</v>
      </c>
    </row>
    <row r="74" spans="1:9">
      <c r="A74" t="s">
        <v>23</v>
      </c>
      <c r="B74" s="4">
        <v>82</v>
      </c>
      <c r="C74" s="4">
        <v>4.04</v>
      </c>
      <c r="D74" s="4">
        <v>4.05</v>
      </c>
      <c r="E74" s="4">
        <v>52</v>
      </c>
      <c r="F74" s="4">
        <v>0.0252</v>
      </c>
      <c r="G74" s="4" t="s">
        <v>10</v>
      </c>
      <c r="H74" s="4" t="str">
        <f t="shared" si="3"/>
        <v>RSI=52，MACD=0.0252，MACD转正，趋势偏多，建议持有</v>
      </c>
      <c r="I74" s="5" t="s">
        <v>11</v>
      </c>
    </row>
    <row r="75" spans="1:9">
      <c r="A75" t="s">
        <v>23</v>
      </c>
      <c r="B75" s="4">
        <v>213</v>
      </c>
      <c r="C75" s="4">
        <v>4.28</v>
      </c>
      <c r="D75" s="4">
        <v>4.38</v>
      </c>
      <c r="E75" s="4">
        <v>46.5</v>
      </c>
      <c r="F75" s="4">
        <v>-0.0198</v>
      </c>
      <c r="G75" s="4" t="s">
        <v>10</v>
      </c>
      <c r="H75" s="4" t="str">
        <f t="shared" si="3"/>
        <v>RSI=46.5，MACD=-0.0198，MACD转负，趋势偏空，建议观望</v>
      </c>
      <c r="I75" s="5" t="s">
        <v>11</v>
      </c>
    </row>
    <row r="76" spans="1:9">
      <c r="A76" t="s">
        <v>23</v>
      </c>
      <c r="B76" s="4">
        <v>50</v>
      </c>
      <c r="C76" s="4">
        <v>3.88</v>
      </c>
      <c r="D76" s="4">
        <v>3.84</v>
      </c>
      <c r="E76" s="4">
        <v>56.2</v>
      </c>
      <c r="F76" s="4">
        <v>0.0208</v>
      </c>
      <c r="G76" s="4" t="s">
        <v>10</v>
      </c>
      <c r="H76" s="4" t="str">
        <f t="shared" si="3"/>
        <v>RSI=56.2，MACD=0.0208，MACD转正，趋势偏多，建议持有</v>
      </c>
      <c r="I76" s="5" t="s">
        <v>11</v>
      </c>
    </row>
    <row r="77" spans="1:9">
      <c r="A77" t="s">
        <v>23</v>
      </c>
      <c r="B77" s="4">
        <v>44</v>
      </c>
      <c r="C77" s="4">
        <v>3.88</v>
      </c>
      <c r="D77" s="4">
        <v>3.83</v>
      </c>
      <c r="E77" s="4">
        <v>58</v>
      </c>
      <c r="F77" s="4">
        <v>0.0228</v>
      </c>
      <c r="G77" s="4" t="s">
        <v>10</v>
      </c>
      <c r="H77" s="4" t="str">
        <f t="shared" si="3"/>
        <v>RSI=58，MACD=0.0228，MACD转正，趋势偏多，建议持有</v>
      </c>
      <c r="I77" s="5" t="s">
        <v>11</v>
      </c>
    </row>
    <row r="78" spans="1:9">
      <c r="A78" t="s">
        <v>23</v>
      </c>
      <c r="B78" s="4">
        <v>202</v>
      </c>
      <c r="C78" s="4">
        <v>4.37</v>
      </c>
      <c r="D78" s="4">
        <v>4.45</v>
      </c>
      <c r="E78" s="4">
        <v>49.8</v>
      </c>
      <c r="F78" s="4">
        <v>0.0699</v>
      </c>
      <c r="G78" s="4" t="s">
        <v>10</v>
      </c>
      <c r="H78" s="4" t="str">
        <f t="shared" si="3"/>
        <v>RSI=49.8，MACD=0.0699，MACD转正，趋势偏多，建议持有</v>
      </c>
      <c r="I78" s="5" t="s">
        <v>11</v>
      </c>
    </row>
    <row r="79" spans="1:9">
      <c r="A79" t="s">
        <v>23</v>
      </c>
      <c r="B79" s="4">
        <v>91</v>
      </c>
      <c r="C79" s="4">
        <v>3.95</v>
      </c>
      <c r="D79" s="4">
        <v>4.04</v>
      </c>
      <c r="E79" s="4">
        <v>43.1</v>
      </c>
      <c r="F79" s="4">
        <v>-0.0138</v>
      </c>
      <c r="G79" s="4" t="s">
        <v>10</v>
      </c>
      <c r="H79" s="4" t="str">
        <f t="shared" si="3"/>
        <v>RSI=43.1，MACD=-0.0138，MACD转负，趋势偏空，建议观望</v>
      </c>
      <c r="I79" s="5" t="s">
        <v>11</v>
      </c>
    </row>
    <row r="80" spans="1:9">
      <c r="A80" t="s">
        <v>24</v>
      </c>
      <c r="B80" s="4">
        <v>230</v>
      </c>
      <c r="C80" s="4">
        <v>102.31</v>
      </c>
      <c r="D80" s="4">
        <v>96.13</v>
      </c>
      <c r="E80" s="4">
        <v>63.8</v>
      </c>
      <c r="F80" s="4">
        <v>2.5835</v>
      </c>
      <c r="G80" s="4" t="str">
        <f t="shared" si="4"/>
        <v>卖出</v>
      </c>
      <c r="H80" s="4" t="str">
        <f>"RSI="&amp;E80&amp;"，MACD="&amp;F80&amp;"，close远高于ma20，建议卖出"</f>
        <v>RSI=63.8，MACD=2.5835，close远高于ma20，建议卖出</v>
      </c>
      <c r="I80" s="5" t="s">
        <v>11</v>
      </c>
    </row>
    <row r="81" spans="1:9">
      <c r="A81" t="s">
        <v>24</v>
      </c>
      <c r="B81" s="4">
        <v>107</v>
      </c>
      <c r="C81" s="4">
        <v>105.49</v>
      </c>
      <c r="D81" s="4">
        <v>108.53</v>
      </c>
      <c r="E81" s="4">
        <v>44.3</v>
      </c>
      <c r="F81" s="4">
        <v>-0.4726</v>
      </c>
      <c r="G81" s="4" t="s">
        <v>10</v>
      </c>
      <c r="H81" s="4" t="str">
        <f t="shared" si="3"/>
        <v>RSI=44.3，MACD=-0.4726，MACD转负，趋势偏空，建议观望</v>
      </c>
      <c r="I81" s="5" t="s">
        <v>11</v>
      </c>
    </row>
    <row r="82" spans="1:9">
      <c r="A82" t="s">
        <v>24</v>
      </c>
      <c r="B82" s="4">
        <v>53</v>
      </c>
      <c r="C82" s="4">
        <v>115.06</v>
      </c>
      <c r="D82" s="4">
        <v>115.67</v>
      </c>
      <c r="E82" s="4">
        <v>46.7</v>
      </c>
      <c r="F82" s="4">
        <v>-1.9524</v>
      </c>
      <c r="G82" s="4" t="s">
        <v>10</v>
      </c>
      <c r="H82" s="4" t="str">
        <f t="shared" si="3"/>
        <v>RSI=46.7，MACD=-1.9524，MACD转负，趋势偏空，建议观望</v>
      </c>
      <c r="I82" s="5" t="s">
        <v>11</v>
      </c>
    </row>
    <row r="83" spans="1:9">
      <c r="A83" t="s">
        <v>24</v>
      </c>
      <c r="B83" s="4">
        <v>92</v>
      </c>
      <c r="C83" s="4">
        <v>107.63</v>
      </c>
      <c r="D83" s="4">
        <v>107.38</v>
      </c>
      <c r="E83" s="4">
        <v>49.9</v>
      </c>
      <c r="F83" s="4">
        <v>-0.8247</v>
      </c>
      <c r="G83" s="4" t="s">
        <v>10</v>
      </c>
      <c r="H83" s="4" t="str">
        <f t="shared" si="3"/>
        <v>RSI=49.9，MACD=-0.8247，MACD转负，趋势偏空，建议观望</v>
      </c>
      <c r="I83" s="5" t="s">
        <v>11</v>
      </c>
    </row>
    <row r="84" spans="1:9">
      <c r="A84" t="s">
        <v>24</v>
      </c>
      <c r="B84" s="4">
        <v>58</v>
      </c>
      <c r="C84" s="4">
        <v>108.93</v>
      </c>
      <c r="D84" s="4">
        <v>113.58</v>
      </c>
      <c r="E84" s="4">
        <v>36</v>
      </c>
      <c r="F84" s="4">
        <v>-2.5661</v>
      </c>
      <c r="G84" s="4" t="s">
        <v>10</v>
      </c>
      <c r="H84" s="4" t="str">
        <f t="shared" si="3"/>
        <v>RSI=36，MACD=-2.5661，MACD转负，趋势偏空，建议观望</v>
      </c>
      <c r="I84" s="5" t="s">
        <v>11</v>
      </c>
    </row>
    <row r="85" spans="1:9">
      <c r="A85" t="s">
        <v>24</v>
      </c>
      <c r="B85" s="4">
        <v>130</v>
      </c>
      <c r="C85" s="4">
        <v>104.52</v>
      </c>
      <c r="D85" s="4">
        <v>107.56</v>
      </c>
      <c r="E85" s="4">
        <v>42.1</v>
      </c>
      <c r="F85" s="4">
        <v>-0.6505</v>
      </c>
      <c r="G85" s="4" t="s">
        <v>10</v>
      </c>
      <c r="H85" s="4" t="str">
        <f t="shared" si="3"/>
        <v>RSI=42.1，MACD=-0.6505，MACD转负，趋势偏空，建议观望</v>
      </c>
      <c r="I85" s="5" t="s">
        <v>11</v>
      </c>
    </row>
    <row r="86" spans="1:9">
      <c r="A86" t="s">
        <v>25</v>
      </c>
      <c r="B86" s="4">
        <v>104</v>
      </c>
      <c r="C86" s="4">
        <v>26.21</v>
      </c>
      <c r="D86" s="4">
        <v>26.64</v>
      </c>
      <c r="E86" s="4">
        <v>49.9</v>
      </c>
      <c r="F86" s="4">
        <v>0.901</v>
      </c>
      <c r="G86" s="4" t="s">
        <v>10</v>
      </c>
      <c r="H86" s="4" t="str">
        <f t="shared" si="3"/>
        <v>RSI=49.9，MACD=0.901，MACD转正，趋势偏多，建议持有</v>
      </c>
      <c r="I86" s="5" t="s">
        <v>11</v>
      </c>
    </row>
    <row r="87" spans="1:9">
      <c r="A87" t="s">
        <v>25</v>
      </c>
      <c r="B87" s="4">
        <v>149</v>
      </c>
      <c r="C87" s="4">
        <v>24.54</v>
      </c>
      <c r="D87" s="4">
        <v>25.4</v>
      </c>
      <c r="E87" s="4">
        <v>39.9</v>
      </c>
      <c r="F87" s="4">
        <v>-0.3201</v>
      </c>
      <c r="G87" s="4" t="s">
        <v>10</v>
      </c>
      <c r="H87" s="4" t="str">
        <f t="shared" si="3"/>
        <v>RSI=39.9，MACD=-0.3201，MACD转负，趋势偏空，建议观望</v>
      </c>
      <c r="I87" s="5" t="s">
        <v>11</v>
      </c>
    </row>
    <row r="88" spans="1:9">
      <c r="A88" t="s">
        <v>25</v>
      </c>
      <c r="B88" s="4">
        <v>195</v>
      </c>
      <c r="C88" s="4">
        <v>23.31</v>
      </c>
      <c r="D88" s="4">
        <v>23.86</v>
      </c>
      <c r="E88" s="4">
        <v>44.6</v>
      </c>
      <c r="F88" s="4">
        <v>0.0405</v>
      </c>
      <c r="G88" s="4" t="s">
        <v>10</v>
      </c>
      <c r="H88" s="4" t="str">
        <f t="shared" si="3"/>
        <v>RSI=44.6，MACD=0.0405，MACD转正，趋势偏多，建议持有</v>
      </c>
      <c r="I88" s="5" t="s">
        <v>11</v>
      </c>
    </row>
    <row r="89" spans="1:9">
      <c r="A89" t="s">
        <v>25</v>
      </c>
      <c r="B89" s="4">
        <v>246</v>
      </c>
      <c r="C89" s="4">
        <v>20.01</v>
      </c>
      <c r="D89" s="4">
        <v>19.72</v>
      </c>
      <c r="E89" s="4">
        <v>49.2</v>
      </c>
      <c r="F89" s="4">
        <v>-0.5941</v>
      </c>
      <c r="G89" s="4" t="s">
        <v>10</v>
      </c>
      <c r="H89" s="4" t="str">
        <f t="shared" si="3"/>
        <v>RSI=49.2，MACD=-0.5941，MACD转负，趋势偏空，建议观望</v>
      </c>
      <c r="I89" s="5" t="s">
        <v>11</v>
      </c>
    </row>
    <row r="90" spans="1:9">
      <c r="A90" t="s">
        <v>25</v>
      </c>
      <c r="B90" s="4">
        <v>126</v>
      </c>
      <c r="C90" s="4">
        <v>25.16</v>
      </c>
      <c r="D90" s="4">
        <v>26.67</v>
      </c>
      <c r="E90" s="4">
        <v>40.7</v>
      </c>
      <c r="F90" s="4">
        <v>-0.1335</v>
      </c>
      <c r="G90" s="4" t="str">
        <f t="shared" si="4"/>
        <v>买入</v>
      </c>
      <c r="H90" s="4" t="str">
        <f>IF(AND(E90&gt;=30,E90&lt;=70,C90&lt;D90*0.95),"RSI="&amp;E90&amp;"，MACD="&amp;F90&amp;"，close远低于ma20，建议买入",H90)</f>
        <v>RSI=40.7，MACD=-0.1335，close远低于ma20，建议买入</v>
      </c>
      <c r="I90" s="5" t="s">
        <v>11</v>
      </c>
    </row>
    <row r="91" spans="1:9">
      <c r="A91" t="s">
        <v>25</v>
      </c>
      <c r="B91" s="4">
        <v>74</v>
      </c>
      <c r="C91" s="4">
        <v>24.32</v>
      </c>
      <c r="D91" s="4">
        <v>23.29</v>
      </c>
      <c r="E91" s="4">
        <v>67.7</v>
      </c>
      <c r="F91" s="4">
        <v>0.503</v>
      </c>
      <c r="G91" s="4" t="s">
        <v>10</v>
      </c>
      <c r="H91" s="4" t="str">
        <f t="shared" si="3"/>
        <v>RSI=67.7，MACD=0.503，MACD转正，趋势偏多，建议持有</v>
      </c>
      <c r="I91" s="5" t="s">
        <v>11</v>
      </c>
    </row>
    <row r="92" spans="1:9">
      <c r="A92" t="s">
        <v>26</v>
      </c>
      <c r="B92" s="4">
        <v>127</v>
      </c>
      <c r="C92" s="4">
        <v>129.56</v>
      </c>
      <c r="D92" s="4">
        <v>124.85</v>
      </c>
      <c r="E92" s="4">
        <v>56.5</v>
      </c>
      <c r="F92" s="4">
        <v>6.9622</v>
      </c>
      <c r="G92" s="4" t="s">
        <v>10</v>
      </c>
      <c r="H92" s="4" t="str">
        <f t="shared" si="3"/>
        <v>RSI=56.5，MACD=6.9622，MACD转正，趋势偏多，建议持有</v>
      </c>
      <c r="I92" s="5" t="s">
        <v>11</v>
      </c>
    </row>
    <row r="93" spans="1:9">
      <c r="A93" t="s">
        <v>26</v>
      </c>
      <c r="B93" s="4">
        <v>123</v>
      </c>
      <c r="C93" s="4">
        <v>138.91</v>
      </c>
      <c r="D93" s="4">
        <v>121.15</v>
      </c>
      <c r="E93" s="4">
        <v>74.6</v>
      </c>
      <c r="F93" s="4">
        <v>9.3532</v>
      </c>
      <c r="G93" s="4" t="str">
        <f t="shared" si="4"/>
        <v>卖出</v>
      </c>
      <c r="H93" s="4" t="str">
        <f t="shared" si="3"/>
        <v>RSI=74.6超买，短期回调风险大，建议卖出</v>
      </c>
      <c r="I93" s="5" t="s">
        <v>11</v>
      </c>
    </row>
    <row r="94" spans="1:9">
      <c r="A94" t="s">
        <v>26</v>
      </c>
      <c r="B94" s="4">
        <v>86</v>
      </c>
      <c r="C94" s="4">
        <v>86.96</v>
      </c>
      <c r="D94" s="4">
        <v>89.63</v>
      </c>
      <c r="E94" s="4">
        <v>43.7</v>
      </c>
      <c r="F94" s="4">
        <v>0.4296</v>
      </c>
      <c r="G94" s="4" t="s">
        <v>10</v>
      </c>
      <c r="H94" s="4" t="str">
        <f t="shared" si="3"/>
        <v>RSI=43.7，MACD=0.4296，MACD转正，趋势偏多，建议持有</v>
      </c>
      <c r="I94" s="5" t="s">
        <v>11</v>
      </c>
    </row>
    <row r="95" spans="1:9">
      <c r="A95" t="s">
        <v>26</v>
      </c>
      <c r="B95" s="4">
        <v>204</v>
      </c>
      <c r="C95" s="4">
        <v>116.03</v>
      </c>
      <c r="D95" s="4">
        <v>124.78</v>
      </c>
      <c r="E95" s="4">
        <v>39.8</v>
      </c>
      <c r="F95" s="4">
        <v>-0.5884</v>
      </c>
      <c r="G95" s="4" t="str">
        <f t="shared" si="4"/>
        <v>买入</v>
      </c>
      <c r="H95" s="4" t="str">
        <f>IF(AND(E95&gt;=30,E95&lt;=70,C95&lt;D95*0.95),"RSI="&amp;E95&amp;"，MACD="&amp;F95&amp;"，close远低于ma20，建议买入",H95)</f>
        <v>RSI=39.8，MACD=-0.5884，close远低于ma20，建议买入</v>
      </c>
      <c r="I95" s="5" t="s">
        <v>11</v>
      </c>
    </row>
    <row r="96" spans="1:9">
      <c r="A96" t="s">
        <v>26</v>
      </c>
      <c r="B96" s="4">
        <v>101</v>
      </c>
      <c r="C96" s="4">
        <v>114.76</v>
      </c>
      <c r="D96" s="4">
        <v>96.34</v>
      </c>
      <c r="E96" s="4">
        <v>72.5</v>
      </c>
      <c r="F96" s="4">
        <v>6.2223</v>
      </c>
      <c r="G96" s="4" t="str">
        <f t="shared" si="4"/>
        <v>卖出</v>
      </c>
      <c r="H96" s="4" t="str">
        <f t="shared" si="3"/>
        <v>RSI=72.5超买，短期回调风险大，建议卖出</v>
      </c>
      <c r="I96" s="5" t="s">
        <v>11</v>
      </c>
    </row>
    <row r="97" spans="1:9">
      <c r="A97" t="s">
        <v>26</v>
      </c>
      <c r="B97" s="4">
        <v>212</v>
      </c>
      <c r="C97" s="4">
        <v>116.93</v>
      </c>
      <c r="D97" s="4">
        <v>119.92</v>
      </c>
      <c r="E97" s="4">
        <v>45.4</v>
      </c>
      <c r="F97" s="4">
        <v>-2.1275</v>
      </c>
      <c r="G97" s="4" t="s">
        <v>10</v>
      </c>
      <c r="H97" s="4" t="str">
        <f t="shared" si="3"/>
        <v>RSI=45.4，MACD=-2.1275，MACD转负，趋势偏空，建议观望</v>
      </c>
      <c r="I97" s="5" t="s">
        <v>11</v>
      </c>
    </row>
    <row r="98" spans="1:9">
      <c r="A98" t="s">
        <v>27</v>
      </c>
      <c r="B98" s="4">
        <v>207</v>
      </c>
      <c r="C98" s="4">
        <v>92.35</v>
      </c>
      <c r="D98" s="4">
        <v>91.94</v>
      </c>
      <c r="E98" s="4">
        <v>53.8</v>
      </c>
      <c r="F98" s="4">
        <v>0.7959</v>
      </c>
      <c r="G98" s="4" t="s">
        <v>10</v>
      </c>
      <c r="H98" s="4" t="str">
        <f t="shared" si="3"/>
        <v>RSI=53.8，MACD=0.7959，MACD转正，趋势偏多，建议持有</v>
      </c>
      <c r="I98" s="5" t="s">
        <v>11</v>
      </c>
    </row>
    <row r="99" spans="1:9">
      <c r="A99" t="s">
        <v>27</v>
      </c>
      <c r="B99" s="4">
        <v>198</v>
      </c>
      <c r="C99" s="4">
        <v>92.66</v>
      </c>
      <c r="D99" s="4">
        <v>92.56</v>
      </c>
      <c r="E99" s="4">
        <v>54.6</v>
      </c>
      <c r="F99" s="4">
        <v>2.1761</v>
      </c>
      <c r="G99" s="4" t="s">
        <v>10</v>
      </c>
      <c r="H99" s="4" t="str">
        <f t="shared" si="3"/>
        <v>RSI=54.6，MACD=2.1761，MACD转正，趋势偏多，建议持有</v>
      </c>
      <c r="I99" s="5" t="s">
        <v>11</v>
      </c>
    </row>
    <row r="100" spans="1:9">
      <c r="A100" t="s">
        <v>27</v>
      </c>
      <c r="B100" s="4">
        <v>51</v>
      </c>
      <c r="C100" s="4">
        <v>59.52</v>
      </c>
      <c r="D100" s="4">
        <v>59.84</v>
      </c>
      <c r="E100" s="4">
        <v>44.7</v>
      </c>
      <c r="F100" s="4">
        <v>-0.2859</v>
      </c>
      <c r="G100" s="4" t="s">
        <v>10</v>
      </c>
      <c r="H100" s="4" t="str">
        <f t="shared" si="3"/>
        <v>RSI=44.7，MACD=-0.2859，MACD转负，趋势偏空，建议观望</v>
      </c>
      <c r="I100" s="5" t="s">
        <v>11</v>
      </c>
    </row>
    <row r="101" spans="1:9">
      <c r="A101" t="s">
        <v>27</v>
      </c>
      <c r="B101" s="4">
        <v>188</v>
      </c>
      <c r="C101" s="4">
        <v>95.4</v>
      </c>
      <c r="D101" s="4">
        <v>87.86</v>
      </c>
      <c r="E101" s="4">
        <v>63</v>
      </c>
      <c r="F101" s="4">
        <v>3.5896</v>
      </c>
      <c r="G101" s="4" t="str">
        <f t="shared" ref="G99:G121" si="5">IF(AND(E101&gt;=30,E101&lt;=70,C101&lt;D101*0.95),"买入",IF(AND(E101&gt;=30,E101&lt;=70,C101&gt;D101*1.05),"卖出",IF(E101&gt;70,"卖出",IF(E101&lt;30,"买入",IF(F101&gt;0,"持有/买入","持有/卖出")))))</f>
        <v>卖出</v>
      </c>
      <c r="H101" s="4" t="str">
        <f>"RSI="&amp;E101&amp;"，MACD="&amp;F101&amp;"，close远高于ma20，建议卖出"</f>
        <v>RSI=63，MACD=3.5896，close远高于ma20，建议卖出</v>
      </c>
      <c r="I101" s="5" t="s">
        <v>11</v>
      </c>
    </row>
    <row r="102" spans="1:9">
      <c r="A102" t="s">
        <v>27</v>
      </c>
      <c r="B102" s="4">
        <v>195</v>
      </c>
      <c r="C102" s="4">
        <v>95.09</v>
      </c>
      <c r="D102" s="4">
        <v>91.68</v>
      </c>
      <c r="E102" s="4">
        <v>59.4</v>
      </c>
      <c r="F102" s="4">
        <v>2.5651</v>
      </c>
      <c r="G102" s="4" t="s">
        <v>10</v>
      </c>
      <c r="H102" s="4" t="str">
        <f t="shared" si="3"/>
        <v>RSI=59.4，MACD=2.5651，MACD转正，趋势偏多，建议持有</v>
      </c>
      <c r="I102" s="5" t="s">
        <v>11</v>
      </c>
    </row>
    <row r="103" spans="1:9">
      <c r="A103" t="s">
        <v>27</v>
      </c>
      <c r="B103" s="4">
        <v>76</v>
      </c>
      <c r="C103" s="4">
        <v>66.16</v>
      </c>
      <c r="D103" s="4">
        <v>62.68</v>
      </c>
      <c r="E103" s="4">
        <v>60.7</v>
      </c>
      <c r="F103" s="4">
        <v>1.6962</v>
      </c>
      <c r="G103" s="4" t="str">
        <f t="shared" si="5"/>
        <v>卖出</v>
      </c>
      <c r="H103" s="4" t="str">
        <f>"RSI="&amp;E103&amp;"，MACD="&amp;F103&amp;"，close远高于ma20，建议卖出"</f>
        <v>RSI=60.7，MACD=1.6962，close远高于ma20，建议卖出</v>
      </c>
      <c r="I103" s="5" t="s">
        <v>11</v>
      </c>
    </row>
    <row r="104" spans="1:9">
      <c r="A104" t="s">
        <v>28</v>
      </c>
      <c r="B104" s="4">
        <v>169</v>
      </c>
      <c r="C104" s="4">
        <v>94.05</v>
      </c>
      <c r="D104" s="4">
        <v>92.25</v>
      </c>
      <c r="E104" s="4">
        <v>51.4</v>
      </c>
      <c r="F104" s="4">
        <v>-1.0926</v>
      </c>
      <c r="G104" s="4" t="s">
        <v>10</v>
      </c>
      <c r="H104" s="4" t="str">
        <f t="shared" si="3"/>
        <v>RSI=51.4，MACD=-1.0926，MACD转负，趋势偏空，建议观望</v>
      </c>
      <c r="I104" s="5" t="s">
        <v>11</v>
      </c>
    </row>
    <row r="105" spans="1:9">
      <c r="A105" t="s">
        <v>28</v>
      </c>
      <c r="B105" s="4">
        <v>219</v>
      </c>
      <c r="C105" s="4">
        <v>92.02</v>
      </c>
      <c r="D105" s="4">
        <v>97.71</v>
      </c>
      <c r="E105" s="4">
        <v>36.1</v>
      </c>
      <c r="F105" s="4">
        <v>-0.4483</v>
      </c>
      <c r="G105" s="4" t="str">
        <f t="shared" si="5"/>
        <v>买入</v>
      </c>
      <c r="H105" s="4" t="str">
        <f>IF(AND(E105&gt;=30,E105&lt;=70,C105&lt;D105*0.95),"RSI="&amp;E105&amp;"，MACD="&amp;F105&amp;"，close远低于ma20，建议买入",H105)</f>
        <v>RSI=36.1，MACD=-0.4483，close远低于ma20，建议买入</v>
      </c>
      <c r="I105" s="5" t="s">
        <v>11</v>
      </c>
    </row>
    <row r="106" spans="1:9">
      <c r="A106" t="s">
        <v>28</v>
      </c>
      <c r="B106" s="4">
        <v>95</v>
      </c>
      <c r="C106" s="4">
        <v>93.7</v>
      </c>
      <c r="D106" s="4">
        <v>93.75</v>
      </c>
      <c r="E106" s="4">
        <v>58.5</v>
      </c>
      <c r="F106" s="4">
        <v>3.1606</v>
      </c>
      <c r="G106" s="4" t="s">
        <v>10</v>
      </c>
      <c r="H106" s="4" t="str">
        <f t="shared" si="3"/>
        <v>RSI=58.5，MACD=3.1606，MACD转正，趋势偏多，建议持有</v>
      </c>
      <c r="I106" s="5" t="s">
        <v>11</v>
      </c>
    </row>
    <row r="107" spans="1:9">
      <c r="A107" t="s">
        <v>28</v>
      </c>
      <c r="B107" s="4">
        <v>74</v>
      </c>
      <c r="C107" s="4">
        <v>86.72</v>
      </c>
      <c r="D107" s="4">
        <v>75.39</v>
      </c>
      <c r="E107" s="4">
        <v>84.3</v>
      </c>
      <c r="F107" s="4">
        <v>4.908</v>
      </c>
      <c r="G107" s="4" t="str">
        <f t="shared" si="5"/>
        <v>卖出</v>
      </c>
      <c r="H107" s="4" t="str">
        <f t="shared" si="3"/>
        <v>RSI=84.3超买，短期回调风险大，建议卖出</v>
      </c>
      <c r="I107" s="5" t="s">
        <v>11</v>
      </c>
    </row>
    <row r="108" spans="1:9">
      <c r="A108" t="s">
        <v>28</v>
      </c>
      <c r="B108" s="4">
        <v>151</v>
      </c>
      <c r="C108" s="4">
        <v>92.32</v>
      </c>
      <c r="D108" s="4">
        <v>97.53</v>
      </c>
      <c r="E108" s="4">
        <v>40.9</v>
      </c>
      <c r="F108" s="4">
        <v>-2.3705</v>
      </c>
      <c r="G108" s="4" t="str">
        <f t="shared" si="5"/>
        <v>买入</v>
      </c>
      <c r="H108" s="4" t="str">
        <f>IF(AND(E108&gt;=30,E108&lt;=70,C108&lt;D108*0.95),"RSI="&amp;E108&amp;"，MACD="&amp;F108&amp;"，close远低于ma20，建议买入",H108)</f>
        <v>RSI=40.9，MACD=-2.3705，close远低于ma20，建议买入</v>
      </c>
      <c r="I108" s="5" t="s">
        <v>11</v>
      </c>
    </row>
    <row r="109" spans="1:9">
      <c r="A109" t="s">
        <v>28</v>
      </c>
      <c r="B109" s="4">
        <v>130</v>
      </c>
      <c r="C109" s="4">
        <v>98.89</v>
      </c>
      <c r="D109" s="4">
        <v>104.6</v>
      </c>
      <c r="E109" s="4">
        <v>45.5</v>
      </c>
      <c r="F109" s="4">
        <v>-0.8276</v>
      </c>
      <c r="G109" s="4" t="str">
        <f t="shared" si="5"/>
        <v>买入</v>
      </c>
      <c r="H109" s="4" t="str">
        <f>IF(AND(E109&gt;=30,E109&lt;=70,C109&lt;D109*0.95),"RSI="&amp;E109&amp;"，MACD="&amp;F109&amp;"，close远低于ma20，建议买入",H109)</f>
        <v>RSI=45.5，MACD=-0.8276，close远低于ma20，建议买入</v>
      </c>
      <c r="I109" s="5" t="s">
        <v>11</v>
      </c>
    </row>
    <row r="110" spans="1:9">
      <c r="A110" t="s">
        <v>29</v>
      </c>
      <c r="B110" s="4">
        <v>102</v>
      </c>
      <c r="C110" s="4">
        <v>75.68</v>
      </c>
      <c r="D110" s="4">
        <v>72.2</v>
      </c>
      <c r="E110" s="4">
        <v>70.8</v>
      </c>
      <c r="F110" s="4">
        <v>0.6285</v>
      </c>
      <c r="G110" s="4" t="str">
        <f t="shared" si="5"/>
        <v>卖出</v>
      </c>
      <c r="H110" s="4" t="str">
        <f t="shared" si="3"/>
        <v>RSI=70.8超买，短期回调风险大，建议卖出</v>
      </c>
      <c r="I110" s="5" t="s">
        <v>11</v>
      </c>
    </row>
    <row r="111" spans="1:9">
      <c r="A111" t="s">
        <v>29</v>
      </c>
      <c r="B111" s="4">
        <v>196</v>
      </c>
      <c r="C111" s="4">
        <v>77.49</v>
      </c>
      <c r="D111" s="4">
        <v>78.29</v>
      </c>
      <c r="E111" s="4">
        <v>44.8</v>
      </c>
      <c r="F111" s="4">
        <v>-0.3741</v>
      </c>
      <c r="G111" s="4" t="s">
        <v>10</v>
      </c>
      <c r="H111" s="4" t="str">
        <f t="shared" si="3"/>
        <v>RSI=44.8，MACD=-0.3741，MACD转负，趋势偏空，建议观望</v>
      </c>
      <c r="I111" s="5" t="s">
        <v>11</v>
      </c>
    </row>
    <row r="112" spans="1:9">
      <c r="A112" t="s">
        <v>29</v>
      </c>
      <c r="B112" s="4">
        <v>209</v>
      </c>
      <c r="C112" s="4">
        <v>80.19</v>
      </c>
      <c r="D112" s="4">
        <v>77.93</v>
      </c>
      <c r="E112" s="4">
        <v>59.1</v>
      </c>
      <c r="F112" s="4">
        <v>0.3429</v>
      </c>
      <c r="G112" s="4" t="s">
        <v>10</v>
      </c>
      <c r="H112" s="4" t="str">
        <f t="shared" si="3"/>
        <v>RSI=59.1，MACD=0.3429，MACD转正，趋势偏多，建议持有</v>
      </c>
      <c r="I112" s="5" t="s">
        <v>11</v>
      </c>
    </row>
    <row r="113" spans="1:9">
      <c r="A113" t="s">
        <v>29</v>
      </c>
      <c r="B113" s="4">
        <v>175</v>
      </c>
      <c r="C113" s="4">
        <v>79.16</v>
      </c>
      <c r="D113" s="4">
        <v>80.3</v>
      </c>
      <c r="E113" s="4">
        <v>48.9</v>
      </c>
      <c r="F113" s="4">
        <v>0.523</v>
      </c>
      <c r="G113" s="4" t="s">
        <v>10</v>
      </c>
      <c r="H113" s="4" t="str">
        <f t="shared" si="3"/>
        <v>RSI=48.9，MACD=0.523，MACD转正，趋势偏多，建议持有</v>
      </c>
      <c r="I113" s="5" t="s">
        <v>11</v>
      </c>
    </row>
    <row r="114" spans="1:9">
      <c r="A114" t="s">
        <v>29</v>
      </c>
      <c r="B114" s="4">
        <v>89</v>
      </c>
      <c r="C114" s="4">
        <v>71.87</v>
      </c>
      <c r="D114" s="4">
        <v>71.52</v>
      </c>
      <c r="E114" s="4">
        <v>53.1</v>
      </c>
      <c r="F114" s="4">
        <v>-0.1554</v>
      </c>
      <c r="G114" s="4" t="s">
        <v>10</v>
      </c>
      <c r="H114" s="4" t="str">
        <f t="shared" si="3"/>
        <v>RSI=53.1，MACD=-0.1554，MACD转负，趋势偏空，建议观望</v>
      </c>
      <c r="I114" s="5" t="s">
        <v>11</v>
      </c>
    </row>
    <row r="115" spans="1:9">
      <c r="A115" t="s">
        <v>29</v>
      </c>
      <c r="B115" s="4">
        <v>208</v>
      </c>
      <c r="C115" s="4">
        <v>79.16</v>
      </c>
      <c r="D115" s="4">
        <v>77.73</v>
      </c>
      <c r="E115" s="4">
        <v>54.6</v>
      </c>
      <c r="F115" s="4">
        <v>0.2266</v>
      </c>
      <c r="G115" s="4" t="s">
        <v>10</v>
      </c>
      <c r="H115" s="4" t="str">
        <f t="shared" si="3"/>
        <v>RSI=54.6，MACD=0.2266，MACD转正，趋势偏多，建议持有</v>
      </c>
      <c r="I115" s="5" t="s">
        <v>11</v>
      </c>
    </row>
    <row r="116" spans="1:9">
      <c r="A116" t="s">
        <v>30</v>
      </c>
      <c r="B116" s="4">
        <v>116</v>
      </c>
      <c r="C116" s="4">
        <v>26.91</v>
      </c>
      <c r="D116" s="4">
        <v>27.65</v>
      </c>
      <c r="E116" s="4">
        <v>30.2</v>
      </c>
      <c r="F116" s="4">
        <v>-0.2214</v>
      </c>
      <c r="G116" s="4" t="s">
        <v>10</v>
      </c>
      <c r="H116" s="4" t="str">
        <f t="shared" si="3"/>
        <v>RSI=30.2，MACD=-0.2214，MACD转负，趋势偏空，建议观望</v>
      </c>
      <c r="I116" s="5" t="s">
        <v>11</v>
      </c>
    </row>
    <row r="117" spans="1:9">
      <c r="A117" t="s">
        <v>30</v>
      </c>
      <c r="B117" s="4">
        <v>248</v>
      </c>
      <c r="C117" s="4">
        <v>26.55</v>
      </c>
      <c r="D117" s="4">
        <v>26.87</v>
      </c>
      <c r="E117" s="4">
        <v>43.5</v>
      </c>
      <c r="F117" s="4">
        <v>-0.1258</v>
      </c>
      <c r="G117" s="4" t="s">
        <v>10</v>
      </c>
      <c r="H117" s="4" t="str">
        <f t="shared" si="3"/>
        <v>RSI=43.5，MACD=-0.1258，MACD转负，趋势偏空，建议观望</v>
      </c>
      <c r="I117" s="5" t="s">
        <v>11</v>
      </c>
    </row>
    <row r="118" spans="1:9">
      <c r="A118" t="s">
        <v>30</v>
      </c>
      <c r="B118" s="4">
        <v>229</v>
      </c>
      <c r="C118" s="4">
        <v>27.29</v>
      </c>
      <c r="D118" s="4">
        <v>26.8</v>
      </c>
      <c r="E118" s="4">
        <v>61.2</v>
      </c>
      <c r="F118" s="4">
        <v>0.276</v>
      </c>
      <c r="G118" s="4" t="s">
        <v>10</v>
      </c>
      <c r="H118" s="4" t="str">
        <f t="shared" si="3"/>
        <v>RSI=61.2，MACD=0.276，MACD转正，趋势偏多，建议持有</v>
      </c>
      <c r="I118" s="5" t="s">
        <v>11</v>
      </c>
    </row>
    <row r="119" spans="1:9">
      <c r="A119" t="s">
        <v>30</v>
      </c>
      <c r="B119" s="4">
        <v>231</v>
      </c>
      <c r="C119" s="4">
        <v>27.18</v>
      </c>
      <c r="D119" s="4">
        <v>26.9</v>
      </c>
      <c r="E119" s="4">
        <v>57.6</v>
      </c>
      <c r="F119" s="4">
        <v>0.2439</v>
      </c>
      <c r="G119" s="4" t="s">
        <v>10</v>
      </c>
      <c r="H119" s="4" t="str">
        <f t="shared" si="3"/>
        <v>RSI=57.6，MACD=0.2439，MACD转正，趋势偏多，建议持有</v>
      </c>
      <c r="I119" s="5" t="s">
        <v>11</v>
      </c>
    </row>
    <row r="120" spans="1:9">
      <c r="A120" t="s">
        <v>30</v>
      </c>
      <c r="B120" s="4">
        <v>47</v>
      </c>
      <c r="C120" s="4">
        <v>29.7</v>
      </c>
      <c r="D120" s="4">
        <v>29.37</v>
      </c>
      <c r="E120" s="4">
        <v>62.2</v>
      </c>
      <c r="F120" s="4">
        <v>0.167</v>
      </c>
      <c r="G120" s="4" t="s">
        <v>10</v>
      </c>
      <c r="H120" s="4" t="str">
        <f t="shared" si="3"/>
        <v>RSI=62.2，MACD=0.167，MACD转正，趋势偏多，建议持有</v>
      </c>
      <c r="I120" s="5" t="s">
        <v>11</v>
      </c>
    </row>
    <row r="121" spans="1:9">
      <c r="A121" t="s">
        <v>30</v>
      </c>
      <c r="B121" s="4">
        <v>91</v>
      </c>
      <c r="C121" s="4">
        <v>27.42</v>
      </c>
      <c r="D121" s="4">
        <v>27.99</v>
      </c>
      <c r="E121" s="4">
        <v>29.8</v>
      </c>
      <c r="F121" s="4">
        <v>-0.4319</v>
      </c>
      <c r="G121" s="4" t="str">
        <f t="shared" si="5"/>
        <v>买入</v>
      </c>
      <c r="H121" s="4" t="str">
        <f t="shared" si="3"/>
        <v>RSI=29.8严重超卖，有反弹需求，建议买入</v>
      </c>
      <c r="I121" s="5" t="s">
        <v>11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regular_samples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2026-04-18T17:19:00Z</dcterms:created>
  <dcterms:modified xsi:type="dcterms:W3CDTF">2026-04-18T11:44:57Z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00BE7636D7034FC5B97F2C0859384C39_12</vt:lpwstr>
  </property>
</Properties>
</file>